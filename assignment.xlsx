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a8c3629914975c9/Documents/"/>
    </mc:Choice>
  </mc:AlternateContent>
  <xr:revisionPtr revIDLastSave="420" documentId="8_{4FC93B4F-6AC5-4353-B872-9742EBD3643D}" xr6:coauthVersionLast="47" xr6:coauthVersionMax="47" xr10:uidLastSave="{1B504AB4-A8B9-46E1-A88D-7A9DB3ECA7B6}"/>
  <bookViews>
    <workbookView xWindow="-108" yWindow="-108" windowWidth="23256" windowHeight="12456" xr2:uid="{50040598-7A7B-499B-8FAB-F9CC022A8C15}"/>
  </bookViews>
  <sheets>
    <sheet name="Sheet1" sheetId="1" r:id="rId1"/>
  </sheets>
  <calcPr calcId="191029" iterateCount="2" iterateDelta="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3" i="1" l="1"/>
  <c r="C101" i="1"/>
  <c r="C89" i="1"/>
  <c r="C90" i="1"/>
  <c r="C88" i="1"/>
  <c r="C72" i="1"/>
  <c r="C60" i="1"/>
  <c r="C49" i="1" l="1"/>
  <c r="C48" i="1"/>
  <c r="C47" i="1"/>
  <c r="C46" i="1"/>
  <c r="C45" i="1"/>
  <c r="C29" i="1"/>
  <c r="C30" i="1"/>
  <c r="C31" i="1"/>
  <c r="C28" i="1"/>
  <c r="C17" i="1"/>
</calcChain>
</file>

<file path=xl/sharedStrings.xml><?xml version="1.0" encoding="utf-8"?>
<sst xmlns="http://schemas.openxmlformats.org/spreadsheetml/2006/main" count="99" uniqueCount="75">
  <si>
    <t>Logical Funtions and lookup</t>
  </si>
  <si>
    <t>Question-1</t>
  </si>
  <si>
    <t>Marks</t>
  </si>
  <si>
    <t>Riya</t>
  </si>
  <si>
    <t>Siya</t>
  </si>
  <si>
    <t>Raju</t>
  </si>
  <si>
    <t>Ram</t>
  </si>
  <si>
    <t>Rahul</t>
  </si>
  <si>
    <t>Student Name</t>
  </si>
  <si>
    <t xml:space="preserve">Write a formula to check if the marks in cell are greater than or equal to 40. If yes, return "Pass" , otherwise "Fail"
.
</t>
  </si>
  <si>
    <t>Answer--</t>
  </si>
  <si>
    <t>Question-2</t>
  </si>
  <si>
    <t xml:space="preserve">   </t>
  </si>
  <si>
    <t xml:space="preserve">   A company gives a bonus  if sales are above 40,000 and attendance is greater than or equal to 90%. Write a formula to calculate whether the employee will get a bonus or  not .</t>
  </si>
  <si>
    <t>Employee</t>
  </si>
  <si>
    <t>Sales</t>
  </si>
  <si>
    <t>Attendance</t>
  </si>
  <si>
    <t xml:space="preserve">Arjun </t>
  </si>
  <si>
    <t>Simran</t>
  </si>
  <si>
    <t>Rohit</t>
  </si>
  <si>
    <t>Anjali</t>
  </si>
  <si>
    <t xml:space="preserve">        Bonus</t>
  </si>
  <si>
    <t>if(and(sales&gt;40000,attendance&gt;90),"Yes","No")</t>
  </si>
  <si>
    <t>Question-3</t>
  </si>
  <si>
    <t>(=if(D11&gt;=40,"Pass","Fail"))</t>
  </si>
  <si>
    <t>Write a nested IF formula:If marks in B2 are ≥ 90 →"A" , ≥ 75 →"B" , ≥ 50 →"C" , otherwise "Fail"</t>
  </si>
  <si>
    <t>Raj</t>
  </si>
  <si>
    <t>Neha</t>
  </si>
  <si>
    <t>Vivek</t>
  </si>
  <si>
    <t>Rani</t>
  </si>
  <si>
    <t>Sneha</t>
  </si>
  <si>
    <t>if(Marks&gt;=90,"A",if(Marks&gt;=75,"B",if(Marks&gt;=50,"C","Fail")))</t>
  </si>
  <si>
    <t>Question-4</t>
  </si>
  <si>
    <t>Find the Department of Employee ID = E103. Also explain which LOOKUP function is used and why?</t>
  </si>
  <si>
    <t>EmpID</t>
  </si>
  <si>
    <t>Name</t>
  </si>
  <si>
    <t>Department</t>
  </si>
  <si>
    <t>E101</t>
  </si>
  <si>
    <t>E102</t>
  </si>
  <si>
    <t>E103</t>
  </si>
  <si>
    <t>E104</t>
  </si>
  <si>
    <t>Roshni</t>
  </si>
  <si>
    <t>Sejal</t>
  </si>
  <si>
    <t>IT</t>
  </si>
  <si>
    <t>HR</t>
  </si>
  <si>
    <t>Finance</t>
  </si>
  <si>
    <t>vlookup(C57,C54:D58,2,FALSE)</t>
  </si>
  <si>
    <t>I USED VLOOKUP FOR GETTING DEPARTMENT OF EMPLOYEE ID 103 BECAUSE THE DATA IS ARRANGED IN VERTICAL ORDER.</t>
  </si>
  <si>
    <t>Question-5</t>
  </si>
  <si>
    <t>A company has set the following commission structure for its sales team:If a salesperson achieves sales of ₹45,000, use the VLOOKUP function to determine the commission rate applicable.</t>
  </si>
  <si>
    <t>Sales Amount</t>
  </si>
  <si>
    <t>Comission Rate</t>
  </si>
  <si>
    <t>Achieved Sale</t>
  </si>
  <si>
    <t>vlookup(E67,C66:D70,2,TRUE)</t>
  </si>
  <si>
    <t>Question-6</t>
  </si>
  <si>
    <t>The HR department maintains the following leave records of employees:onus or not .Write an IF function to check whether an employee has Exceeded their allowed leave balance.
a)If Leaves Taken &gt; Allowed Leaves, display "Exceeded".
b)Otherwise, display "OK".</t>
  </si>
  <si>
    <t>Employee Name</t>
  </si>
  <si>
    <t>Leaves Taken</t>
  </si>
  <si>
    <t>Leaves Allowed</t>
  </si>
  <si>
    <t>Alex</t>
  </si>
  <si>
    <t>Bob</t>
  </si>
  <si>
    <t>Anna</t>
  </si>
  <si>
    <t>Result</t>
  </si>
  <si>
    <t>IF(Leaves Taken&gt;Leaves Allowed,"Exceeded","OK")</t>
  </si>
  <si>
    <t>Question-7</t>
  </si>
  <si>
    <t>Find the salary of EmpID = E105 using INDEX-MATCH Function.</t>
  </si>
  <si>
    <t>Salary</t>
  </si>
  <si>
    <t>E105</t>
  </si>
  <si>
    <t>E106</t>
  </si>
  <si>
    <t>INDEX(D96:D99,MATCH("E105",C96:C99,0))</t>
  </si>
  <si>
    <t>Question-8</t>
  </si>
  <si>
    <t>U se the XLOOKUP function to find the Department of the employee with Emp ID = E303.</t>
  </si>
  <si>
    <t>E303</t>
  </si>
  <si>
    <t>E301</t>
  </si>
  <si>
    <t>xlookup(C109,C108:C111,D108:D111)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</si>
</sst>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48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center" vertical="top"/>
    </xf>
    <xf numFmtId="164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0" xfId="0" applyAlignment="1">
      <alignment horizontal="left" vertical="top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50861-BE8D-45C2-BC8A-04D49A254644}">
  <dimension ref="B1:AF113"/>
  <sheetViews>
    <sheetView tabSelected="1" topLeftCell="A26" zoomScale="92" workbookViewId="0">
      <selection activeCell="E42" sqref="E42"/>
    </sheetView>
  </sheetViews>
  <sheetFormatPr defaultRowHeight="14.4" x14ac:dyDescent="0.3"/>
  <cols>
    <col min="2" max="2" width="10.33203125" customWidth="1"/>
    <col min="3" max="4" width="16.109375" customWidth="1"/>
    <col min="5" max="5" width="14.21875" customWidth="1"/>
    <col min="17" max="17" width="16.109375" customWidth="1"/>
  </cols>
  <sheetData>
    <row r="1" spans="2:18" x14ac:dyDescent="0.3">
      <c r="D1" s="23" t="s">
        <v>0</v>
      </c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</row>
    <row r="2" spans="2:18" x14ac:dyDescent="0.3"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</row>
    <row r="3" spans="2:18" x14ac:dyDescent="0.3"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</row>
    <row r="4" spans="2:18" x14ac:dyDescent="0.3"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</row>
    <row r="5" spans="2:18" x14ac:dyDescent="0.3"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</row>
    <row r="8" spans="2:18" x14ac:dyDescent="0.3">
      <c r="B8" s="2" t="s">
        <v>1</v>
      </c>
      <c r="C8" s="21" t="s">
        <v>9</v>
      </c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</row>
    <row r="10" spans="2:18" x14ac:dyDescent="0.3">
      <c r="C10" s="4" t="s">
        <v>8</v>
      </c>
      <c r="D10" s="4" t="s">
        <v>2</v>
      </c>
    </row>
    <row r="11" spans="2:18" x14ac:dyDescent="0.3">
      <c r="C11" s="3" t="s">
        <v>3</v>
      </c>
      <c r="D11" s="3">
        <v>45</v>
      </c>
    </row>
    <row r="12" spans="2:18" x14ac:dyDescent="0.3">
      <c r="C12" s="3" t="s">
        <v>4</v>
      </c>
      <c r="D12" s="3">
        <v>72</v>
      </c>
    </row>
    <row r="13" spans="2:18" x14ac:dyDescent="0.3">
      <c r="C13" s="3" t="s">
        <v>5</v>
      </c>
      <c r="D13" s="3">
        <v>55</v>
      </c>
    </row>
    <row r="14" spans="2:18" x14ac:dyDescent="0.3">
      <c r="C14" s="3" t="s">
        <v>7</v>
      </c>
      <c r="D14" s="3">
        <v>80</v>
      </c>
    </row>
    <row r="15" spans="2:18" x14ac:dyDescent="0.3">
      <c r="C15" s="3" t="s">
        <v>6</v>
      </c>
      <c r="D15" s="3">
        <v>30</v>
      </c>
    </row>
    <row r="17" spans="2:32" x14ac:dyDescent="0.3">
      <c r="B17" s="2" t="s">
        <v>10</v>
      </c>
      <c r="C17" t="str">
        <f>IF(D11&gt;=40,"Pass","Fail")</f>
        <v>Pass</v>
      </c>
      <c r="D17" t="s">
        <v>24</v>
      </c>
    </row>
    <row r="19" spans="2:32" ht="14.4" customHeight="1" x14ac:dyDescent="0.3">
      <c r="B19" s="2" t="s">
        <v>11</v>
      </c>
      <c r="C19" s="21" t="s">
        <v>13</v>
      </c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1" t="s">
        <v>12</v>
      </c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</row>
    <row r="21" spans="2:32" x14ac:dyDescent="0.3">
      <c r="C21" s="8" t="s">
        <v>14</v>
      </c>
      <c r="D21" s="8" t="s">
        <v>15</v>
      </c>
      <c r="E21" s="8" t="s">
        <v>16</v>
      </c>
    </row>
    <row r="22" spans="2:32" x14ac:dyDescent="0.3">
      <c r="C22" s="7" t="s">
        <v>17</v>
      </c>
      <c r="D22" s="7">
        <v>55000</v>
      </c>
      <c r="E22" s="7">
        <v>95</v>
      </c>
    </row>
    <row r="23" spans="2:32" x14ac:dyDescent="0.3">
      <c r="C23" s="7" t="s">
        <v>18</v>
      </c>
      <c r="D23" s="7">
        <v>65000</v>
      </c>
      <c r="E23" s="7">
        <v>85</v>
      </c>
    </row>
    <row r="24" spans="2:32" x14ac:dyDescent="0.3">
      <c r="C24" s="7" t="s">
        <v>19</v>
      </c>
      <c r="D24" s="7">
        <v>30000</v>
      </c>
      <c r="E24" s="7">
        <v>90</v>
      </c>
    </row>
    <row r="25" spans="2:32" x14ac:dyDescent="0.3">
      <c r="C25" s="7" t="s">
        <v>20</v>
      </c>
      <c r="D25" s="7">
        <v>25000</v>
      </c>
      <c r="E25" s="7">
        <v>65</v>
      </c>
    </row>
    <row r="27" spans="2:32" x14ac:dyDescent="0.3">
      <c r="B27" s="2" t="s">
        <v>10</v>
      </c>
      <c r="C27" s="4" t="s">
        <v>21</v>
      </c>
      <c r="D27" s="17" t="s">
        <v>22</v>
      </c>
      <c r="E27" s="18"/>
      <c r="F27" s="18"/>
      <c r="G27" s="18"/>
      <c r="H27" s="18"/>
      <c r="I27" s="18"/>
    </row>
    <row r="28" spans="2:32" x14ac:dyDescent="0.3">
      <c r="C28" s="3" t="str">
        <f>IF(AND($D$22&gt;40000,E22&gt;90),"Yes","No")</f>
        <v>Yes</v>
      </c>
      <c r="D28" s="17"/>
      <c r="E28" s="18"/>
      <c r="F28" s="18"/>
      <c r="G28" s="18"/>
      <c r="H28" s="18"/>
      <c r="I28" s="18"/>
    </row>
    <row r="29" spans="2:32" x14ac:dyDescent="0.3">
      <c r="C29" s="3" t="str">
        <f t="shared" ref="C29:C31" si="0">IF(AND($D$22&gt;40000,E23&gt;90),"Yes","No")</f>
        <v>No</v>
      </c>
      <c r="D29" s="17"/>
      <c r="E29" s="18"/>
      <c r="F29" s="18"/>
      <c r="G29" s="18"/>
      <c r="H29" s="18"/>
      <c r="I29" s="18"/>
    </row>
    <row r="30" spans="2:32" x14ac:dyDescent="0.3">
      <c r="C30" s="3" t="str">
        <f t="shared" si="0"/>
        <v>No</v>
      </c>
      <c r="D30" s="17"/>
      <c r="E30" s="18"/>
      <c r="F30" s="18"/>
      <c r="G30" s="18"/>
      <c r="H30" s="18"/>
      <c r="I30" s="18"/>
    </row>
    <row r="31" spans="2:32" x14ac:dyDescent="0.3">
      <c r="C31" s="3" t="str">
        <f t="shared" si="0"/>
        <v>No</v>
      </c>
      <c r="D31" s="17"/>
      <c r="E31" s="18"/>
      <c r="F31" s="18"/>
      <c r="G31" s="18"/>
      <c r="H31" s="18"/>
      <c r="I31" s="18"/>
    </row>
    <row r="32" spans="2:32" x14ac:dyDescent="0.3">
      <c r="D32" s="1"/>
      <c r="E32" s="1"/>
      <c r="F32" s="1"/>
      <c r="G32" s="1"/>
      <c r="H32" s="1"/>
      <c r="I32" s="1"/>
    </row>
    <row r="35" spans="2:25" x14ac:dyDescent="0.3">
      <c r="B35" s="2" t="s">
        <v>23</v>
      </c>
      <c r="C35" s="21" t="s">
        <v>25</v>
      </c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</row>
    <row r="37" spans="2:25" x14ac:dyDescent="0.3">
      <c r="C37" s="4" t="s">
        <v>8</v>
      </c>
      <c r="D37" s="4" t="s">
        <v>2</v>
      </c>
      <c r="F37" s="10"/>
    </row>
    <row r="38" spans="2:25" x14ac:dyDescent="0.3">
      <c r="C38" s="9" t="s">
        <v>26</v>
      </c>
      <c r="D38" s="9">
        <v>85</v>
      </c>
    </row>
    <row r="39" spans="2:25" x14ac:dyDescent="0.3">
      <c r="C39" s="9" t="s">
        <v>27</v>
      </c>
      <c r="D39" s="9">
        <v>96</v>
      </c>
    </row>
    <row r="40" spans="2:25" x14ac:dyDescent="0.3">
      <c r="C40" s="9" t="s">
        <v>28</v>
      </c>
      <c r="D40" s="9">
        <v>57</v>
      </c>
    </row>
    <row r="41" spans="2:25" x14ac:dyDescent="0.3">
      <c r="C41" s="9" t="s">
        <v>29</v>
      </c>
      <c r="D41" s="9">
        <v>92</v>
      </c>
    </row>
    <row r="42" spans="2:25" x14ac:dyDescent="0.3">
      <c r="C42" s="9" t="s">
        <v>30</v>
      </c>
      <c r="D42" s="9">
        <v>75</v>
      </c>
    </row>
    <row r="44" spans="2:25" x14ac:dyDescent="0.3">
      <c r="B44" s="2" t="s">
        <v>10</v>
      </c>
      <c r="C44" s="11" t="s">
        <v>62</v>
      </c>
      <c r="D44" s="17" t="s">
        <v>31</v>
      </c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</row>
    <row r="45" spans="2:25" x14ac:dyDescent="0.3">
      <c r="C45" s="25" t="str">
        <f>IF(D38&gt;=90,"A",IF(D38&gt;=75,"B",IF(D38&gt;=50,"C","Fail")))</f>
        <v>B</v>
      </c>
      <c r="D45" s="17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</row>
    <row r="46" spans="2:25" x14ac:dyDescent="0.3">
      <c r="C46" s="25" t="str">
        <f>IF(D39&gt;=90,"A",IF(D39&gt;=75,"B",IF(D39&gt;=50,"C","Fail")))</f>
        <v>A</v>
      </c>
      <c r="D46" s="17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</row>
    <row r="47" spans="2:25" x14ac:dyDescent="0.3">
      <c r="C47" s="25" t="str">
        <f>IF(D40&gt;=90,"A",IF(D40&gt;=75,"B",IF(D40&gt;=50,"C","Fail")))</f>
        <v>C</v>
      </c>
      <c r="D47" s="17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</row>
    <row r="48" spans="2:25" x14ac:dyDescent="0.3">
      <c r="C48" s="25" t="str">
        <f>IF(D41&gt;=90,"A",IF(D41&gt;=75,"B",IF(D41&gt;=50,"C","Fail")))</f>
        <v>A</v>
      </c>
      <c r="D48" s="17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</row>
    <row r="49" spans="2:26" x14ac:dyDescent="0.3">
      <c r="C49" s="25" t="str">
        <f>IF(D42&gt;=90,"A",IF(D42&gt;=75,"B",IF(D42&gt;=50,"C","Fail")))</f>
        <v>B</v>
      </c>
    </row>
    <row r="52" spans="2:26" x14ac:dyDescent="0.3">
      <c r="B52" s="2" t="s">
        <v>32</v>
      </c>
      <c r="C52" s="20" t="s">
        <v>33</v>
      </c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4" spans="2:26" x14ac:dyDescent="0.3">
      <c r="C54" s="11" t="s">
        <v>34</v>
      </c>
      <c r="D54" s="4" t="s">
        <v>36</v>
      </c>
      <c r="E54" s="11" t="s">
        <v>35</v>
      </c>
    </row>
    <row r="55" spans="2:26" x14ac:dyDescent="0.3">
      <c r="C55" s="7" t="s">
        <v>37</v>
      </c>
      <c r="D55" s="7" t="s">
        <v>43</v>
      </c>
      <c r="E55" s="7" t="s">
        <v>5</v>
      </c>
    </row>
    <row r="56" spans="2:26" x14ac:dyDescent="0.3">
      <c r="C56" s="7" t="s">
        <v>38</v>
      </c>
      <c r="D56" s="7" t="s">
        <v>44</v>
      </c>
      <c r="E56" s="7" t="s">
        <v>3</v>
      </c>
    </row>
    <row r="57" spans="2:26" x14ac:dyDescent="0.3">
      <c r="C57" s="7" t="s">
        <v>39</v>
      </c>
      <c r="D57" s="7" t="s">
        <v>45</v>
      </c>
      <c r="E57" s="7" t="s">
        <v>41</v>
      </c>
    </row>
    <row r="58" spans="2:26" x14ac:dyDescent="0.3">
      <c r="C58" s="7" t="s">
        <v>40</v>
      </c>
      <c r="D58" s="7" t="s">
        <v>15</v>
      </c>
      <c r="E58" s="7" t="s">
        <v>42</v>
      </c>
    </row>
    <row r="60" spans="2:26" x14ac:dyDescent="0.3">
      <c r="B60" s="2" t="s">
        <v>10</v>
      </c>
      <c r="C60" t="str">
        <f>VLOOKUP(C57,C54:D58,2,FALSE)</f>
        <v>Finance</v>
      </c>
      <c r="D60" s="19" t="s">
        <v>46</v>
      </c>
      <c r="E60" s="19"/>
      <c r="F60" s="19"/>
      <c r="G60" s="19"/>
      <c r="H60" s="19"/>
    </row>
    <row r="61" spans="2:26" x14ac:dyDescent="0.3">
      <c r="C61" s="12" t="s">
        <v>47</v>
      </c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</row>
    <row r="64" spans="2:26" x14ac:dyDescent="0.3">
      <c r="B64" s="2" t="s">
        <v>48</v>
      </c>
      <c r="C64" s="20" t="s">
        <v>49</v>
      </c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</row>
    <row r="66" spans="2:32" x14ac:dyDescent="0.3">
      <c r="C66" s="4" t="s">
        <v>50</v>
      </c>
      <c r="D66" s="4" t="s">
        <v>51</v>
      </c>
      <c r="E66" s="5" t="s">
        <v>52</v>
      </c>
    </row>
    <row r="67" spans="2:32" x14ac:dyDescent="0.3">
      <c r="C67" s="14">
        <v>0</v>
      </c>
      <c r="D67" s="15">
        <v>5</v>
      </c>
      <c r="E67" s="13">
        <v>45000</v>
      </c>
    </row>
    <row r="68" spans="2:32" x14ac:dyDescent="0.3">
      <c r="C68" s="14">
        <v>20000</v>
      </c>
      <c r="D68" s="15">
        <v>10</v>
      </c>
    </row>
    <row r="69" spans="2:32" x14ac:dyDescent="0.3">
      <c r="C69" s="14">
        <v>50000</v>
      </c>
      <c r="D69" s="15">
        <v>15</v>
      </c>
    </row>
    <row r="70" spans="2:32" x14ac:dyDescent="0.3">
      <c r="C70" s="14">
        <v>80000</v>
      </c>
      <c r="D70" s="15">
        <v>20</v>
      </c>
    </row>
    <row r="71" spans="2:32" x14ac:dyDescent="0.3">
      <c r="D71" s="1"/>
    </row>
    <row r="72" spans="2:32" x14ac:dyDescent="0.3">
      <c r="B72" s="2" t="s">
        <v>10</v>
      </c>
      <c r="C72" s="1">
        <f>VLOOKUP(E67,C66:D70,2,TRUE)</f>
        <v>10</v>
      </c>
      <c r="D72" s="16" t="s">
        <v>53</v>
      </c>
      <c r="E72" s="16"/>
      <c r="F72" s="16"/>
      <c r="G72" s="16"/>
    </row>
    <row r="75" spans="2:32" ht="14.4" customHeight="1" x14ac:dyDescent="0.3">
      <c r="B75" s="2" t="s">
        <v>54</v>
      </c>
      <c r="C75" s="20" t="s">
        <v>55</v>
      </c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6"/>
      <c r="AA75" s="6"/>
      <c r="AB75" s="6"/>
      <c r="AC75" s="6"/>
      <c r="AD75" s="6"/>
      <c r="AE75" s="6"/>
      <c r="AF75" s="6"/>
    </row>
    <row r="76" spans="2:32" x14ac:dyDescent="0.3"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</row>
    <row r="77" spans="2:32" x14ac:dyDescent="0.3"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</row>
    <row r="78" spans="2:32" x14ac:dyDescent="0.3"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</row>
    <row r="79" spans="2:32" x14ac:dyDescent="0.3"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</row>
    <row r="81" spans="2:16" x14ac:dyDescent="0.3">
      <c r="C81" s="4" t="s">
        <v>56</v>
      </c>
      <c r="D81" s="4" t="s">
        <v>57</v>
      </c>
      <c r="E81" s="4" t="s">
        <v>58</v>
      </c>
    </row>
    <row r="82" spans="2:16" x14ac:dyDescent="0.3">
      <c r="C82" s="3" t="s">
        <v>59</v>
      </c>
      <c r="D82" s="7">
        <v>10</v>
      </c>
      <c r="E82" s="7">
        <v>12</v>
      </c>
    </row>
    <row r="83" spans="2:16" x14ac:dyDescent="0.3">
      <c r="C83" s="3" t="s">
        <v>60</v>
      </c>
      <c r="D83" s="7">
        <v>10</v>
      </c>
      <c r="E83" s="7">
        <v>15</v>
      </c>
    </row>
    <row r="84" spans="2:16" x14ac:dyDescent="0.3">
      <c r="C84" s="3" t="s">
        <v>61</v>
      </c>
      <c r="D84" s="7">
        <v>8</v>
      </c>
      <c r="E84" s="7">
        <v>12</v>
      </c>
    </row>
    <row r="86" spans="2:16" x14ac:dyDescent="0.3">
      <c r="B86" s="2" t="s">
        <v>10</v>
      </c>
    </row>
    <row r="87" spans="2:16" x14ac:dyDescent="0.3">
      <c r="C87" s="8" t="s">
        <v>62</v>
      </c>
      <c r="D87" s="17" t="s">
        <v>63</v>
      </c>
      <c r="E87" s="18"/>
      <c r="F87" s="18"/>
      <c r="G87" s="18"/>
      <c r="H87" s="18"/>
      <c r="I87" s="18"/>
      <c r="J87" s="18"/>
    </row>
    <row r="88" spans="2:16" x14ac:dyDescent="0.3">
      <c r="C88" s="7" t="str">
        <f>IF($D$82&gt;$E$82,"Exceeded","OK")</f>
        <v>OK</v>
      </c>
      <c r="D88" s="17"/>
      <c r="E88" s="18"/>
      <c r="F88" s="18"/>
      <c r="G88" s="18"/>
      <c r="H88" s="18"/>
      <c r="I88" s="18"/>
      <c r="J88" s="18"/>
    </row>
    <row r="89" spans="2:16" x14ac:dyDescent="0.3">
      <c r="C89" s="7" t="str">
        <f t="shared" ref="C89:C90" si="1">IF($D$82&gt;$E$82,"Exceeded","OK")</f>
        <v>OK</v>
      </c>
      <c r="D89" s="17"/>
      <c r="E89" s="18"/>
      <c r="F89" s="18"/>
      <c r="G89" s="18"/>
      <c r="H89" s="18"/>
      <c r="I89" s="18"/>
      <c r="J89" s="18"/>
    </row>
    <row r="90" spans="2:16" x14ac:dyDescent="0.3">
      <c r="C90" s="7" t="str">
        <f t="shared" si="1"/>
        <v>OK</v>
      </c>
      <c r="D90" s="17"/>
      <c r="E90" s="18"/>
      <c r="F90" s="18"/>
      <c r="G90" s="18"/>
      <c r="H90" s="18"/>
      <c r="I90" s="18"/>
      <c r="J90" s="18"/>
    </row>
    <row r="93" spans="2:16" x14ac:dyDescent="0.3">
      <c r="B93" s="2" t="s">
        <v>64</v>
      </c>
      <c r="C93" s="16" t="s">
        <v>65</v>
      </c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</row>
    <row r="95" spans="2:16" x14ac:dyDescent="0.3">
      <c r="C95" s="8" t="s">
        <v>34</v>
      </c>
      <c r="D95" s="8" t="s">
        <v>66</v>
      </c>
    </row>
    <row r="96" spans="2:16" x14ac:dyDescent="0.3">
      <c r="C96" s="7" t="s">
        <v>40</v>
      </c>
      <c r="D96" s="7">
        <v>55000</v>
      </c>
    </row>
    <row r="97" spans="2:17" x14ac:dyDescent="0.3">
      <c r="C97" s="7" t="s">
        <v>67</v>
      </c>
      <c r="D97" s="7">
        <v>72000</v>
      </c>
    </row>
    <row r="98" spans="2:17" x14ac:dyDescent="0.3">
      <c r="C98" s="7" t="s">
        <v>68</v>
      </c>
      <c r="D98" s="7">
        <v>62000</v>
      </c>
    </row>
    <row r="99" spans="2:17" x14ac:dyDescent="0.3">
      <c r="C99" s="7" t="s">
        <v>38</v>
      </c>
      <c r="D99" s="7">
        <v>41000</v>
      </c>
    </row>
    <row r="101" spans="2:17" x14ac:dyDescent="0.3">
      <c r="B101" s="2" t="s">
        <v>10</v>
      </c>
      <c r="C101" s="1">
        <f>INDEX(D96:D99,MATCH("E105",C96:C99,0))</f>
        <v>72000</v>
      </c>
      <c r="D101" s="16" t="s">
        <v>69</v>
      </c>
      <c r="E101" s="16"/>
      <c r="F101" s="16"/>
      <c r="G101" s="16"/>
      <c r="H101" s="16"/>
    </row>
    <row r="105" spans="2:17" x14ac:dyDescent="0.3">
      <c r="B105" s="2" t="s">
        <v>70</v>
      </c>
      <c r="C105" s="16" t="s">
        <v>71</v>
      </c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</row>
    <row r="107" spans="2:17" x14ac:dyDescent="0.3">
      <c r="C107" s="8" t="s">
        <v>34</v>
      </c>
      <c r="D107" s="8" t="s">
        <v>66</v>
      </c>
    </row>
    <row r="108" spans="2:17" x14ac:dyDescent="0.3">
      <c r="C108" s="7" t="s">
        <v>37</v>
      </c>
      <c r="D108" s="7" t="s">
        <v>44</v>
      </c>
    </row>
    <row r="109" spans="2:17" x14ac:dyDescent="0.3">
      <c r="C109" s="7" t="s">
        <v>72</v>
      </c>
      <c r="D109" s="7" t="s">
        <v>43</v>
      </c>
    </row>
    <row r="110" spans="2:17" x14ac:dyDescent="0.3">
      <c r="C110" s="7" t="s">
        <v>68</v>
      </c>
      <c r="D110" s="7" t="s">
        <v>15</v>
      </c>
    </row>
    <row r="111" spans="2:17" x14ac:dyDescent="0.3">
      <c r="C111" s="7" t="s">
        <v>73</v>
      </c>
      <c r="D111" s="7" t="s">
        <v>45</v>
      </c>
    </row>
    <row r="113" spans="2:11" x14ac:dyDescent="0.3">
      <c r="B113" s="2" t="s">
        <v>10</v>
      </c>
      <c r="C113" s="1" t="str">
        <f>_xlfn.XLOOKUP(C109,C108:C111,D108:D111)</f>
        <v>IT</v>
      </c>
      <c r="D113" s="16" t="s">
        <v>74</v>
      </c>
      <c r="E113" s="16"/>
      <c r="F113" s="16"/>
      <c r="G113" s="16"/>
      <c r="H113" s="16"/>
      <c r="I113" s="16"/>
      <c r="J113" s="16"/>
      <c r="K113" s="16"/>
    </row>
  </sheetData>
  <mergeCells count="17">
    <mergeCell ref="D27:I31"/>
    <mergeCell ref="C35:Y35"/>
    <mergeCell ref="D1:P5"/>
    <mergeCell ref="C8:R8"/>
    <mergeCell ref="C19:Q19"/>
    <mergeCell ref="R19:AF19"/>
    <mergeCell ref="D60:H60"/>
    <mergeCell ref="C64:R64"/>
    <mergeCell ref="D72:G72"/>
    <mergeCell ref="C75:Y79"/>
    <mergeCell ref="D44:O48"/>
    <mergeCell ref="C52:Z52"/>
    <mergeCell ref="D113:K113"/>
    <mergeCell ref="D87:J90"/>
    <mergeCell ref="C93:P93"/>
    <mergeCell ref="D101:H101"/>
    <mergeCell ref="C105:Q105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kartik Mishra</dc:creator>
  <cp:lastModifiedBy>Krishna kartik Mishra</cp:lastModifiedBy>
  <dcterms:created xsi:type="dcterms:W3CDTF">2025-10-31T15:50:44Z</dcterms:created>
  <dcterms:modified xsi:type="dcterms:W3CDTF">2025-11-05T15:33:44Z</dcterms:modified>
</cp:coreProperties>
</file>