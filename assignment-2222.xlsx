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1a8c3629914975c9/Documents/"/>
    </mc:Choice>
  </mc:AlternateContent>
  <xr:revisionPtr revIDLastSave="1" documentId="8_{EB6D0A17-B771-43DB-AD8E-1E6798940F79}" xr6:coauthVersionLast="47" xr6:coauthVersionMax="47" xr10:uidLastSave="{3AB07B26-F342-4306-884E-8B4CEA9F3D71}"/>
  <bookViews>
    <workbookView xWindow="-108" yWindow="-108" windowWidth="23256" windowHeight="12456" xr2:uid="{00000000-000D-0000-FFFF-FFFF00000000}"/>
  </bookViews>
  <sheets>
    <sheet name="assignment-22" sheetId="1" r:id="rId1"/>
  </sheets>
  <definedNames>
    <definedName name="_xlnm._FilterDatabase" localSheetId="0" hidden="1">'assignment-22'!$M$103:$Q$123</definedName>
    <definedName name="Slicer_Product">#N/A</definedName>
    <definedName name="Slicer_Product1">#N/A</definedName>
  </definedNames>
  <calcPr calcId="191029"/>
  <pivotCaches>
    <pivotCache cacheId="1"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3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Krishna kartik Mishra</author>
  </authors>
  <commentList>
    <comment ref="G82" authorId="0" shapeId="0" xr:uid="{8B6E7D1F-61F4-4A39-8915-E29F3C0E8411}">
      <text>
        <r>
          <rPr>
            <b/>
            <sz val="9"/>
            <color indexed="81"/>
            <rFont val="Tahoma"/>
            <family val="2"/>
          </rPr>
          <t>Krishna kartik Mishra:</t>
        </r>
        <r>
          <rPr>
            <sz val="9"/>
            <color indexed="81"/>
            <rFont val="Tahoma"/>
            <family val="2"/>
          </rPr>
          <t xml:space="preserve">
green highlighted cells show cell value is &gt;400.
</t>
        </r>
      </text>
    </comment>
  </commentList>
</comments>
</file>

<file path=xl/sharedStrings.xml><?xml version="1.0" encoding="utf-8"?>
<sst xmlns="http://schemas.openxmlformats.org/spreadsheetml/2006/main" count="309" uniqueCount="53">
  <si>
    <t>Date</t>
  </si>
  <si>
    <t>Region</t>
  </si>
  <si>
    <t>Product</t>
  </si>
  <si>
    <t>Sales</t>
  </si>
  <si>
    <t>Quantity</t>
  </si>
  <si>
    <t>West</t>
  </si>
  <si>
    <t>Mangoes</t>
  </si>
  <si>
    <t>South</t>
  </si>
  <si>
    <t>Oranges</t>
  </si>
  <si>
    <t>Apples</t>
  </si>
  <si>
    <t>East</t>
  </si>
  <si>
    <t>North</t>
  </si>
  <si>
    <t>Question-1</t>
  </si>
  <si>
    <t>What is the purpose of a PivotTable in Excel?</t>
  </si>
  <si>
    <t>Answer--</t>
  </si>
  <si>
    <t>Question-2</t>
  </si>
  <si>
    <t>Create a PivotTable to show Total Sales by Region.</t>
  </si>
  <si>
    <t>Row Labels</t>
  </si>
  <si>
    <t>Sum of Sales</t>
  </si>
  <si>
    <t>Sum of Quantity</t>
  </si>
  <si>
    <t>Apr</t>
  </si>
  <si>
    <t>Jun</t>
  </si>
  <si>
    <t>Feb</t>
  </si>
  <si>
    <t>Jan</t>
  </si>
  <si>
    <t>Mar</t>
  </si>
  <si>
    <t>May</t>
  </si>
  <si>
    <t>Grand Total</t>
  </si>
  <si>
    <t>Question-3</t>
  </si>
  <si>
    <t>Apply Conditional Formatting to highlight sales greater than 400.</t>
  </si>
  <si>
    <t>Question-4</t>
  </si>
  <si>
    <t>Explain the difference between Sorting and Filtering with an example from this dataset.</t>
  </si>
  <si>
    <t>Sorting</t>
  </si>
  <si>
    <t>Filtering</t>
  </si>
  <si>
    <t>Question-5</t>
  </si>
  <si>
    <t>Question-6</t>
  </si>
  <si>
    <t>Question-7</t>
  </si>
  <si>
    <t>Why are Dashboards important for decision-making in business analysis?</t>
  </si>
  <si>
    <t>Question-8</t>
  </si>
  <si>
    <t>Create a Dashboard that includes:
a)Sales by Region (PivotTable + Chart)
b)Product Filter (Slicer)
c)Monthly Trend (Line Chart)</t>
  </si>
  <si>
    <t>Question-9</t>
  </si>
  <si>
    <t>Group dates in the PivotTable into Months and calculate the average sales per month.</t>
  </si>
  <si>
    <t>Question-10</t>
  </si>
  <si>
    <t>Combine Apples and Oranges into one group called Fruits and compare its sales with other products.</t>
  </si>
  <si>
    <t>Group1</t>
  </si>
  <si>
    <t>Pivot Table and Charts</t>
  </si>
  <si>
    <t>The purpose of an Excel PivotTable is to quickly summarize, analyze, and present large datasets in a meaningful way.</t>
  </si>
  <si>
    <t>Sorted data based on sales in ascending order</t>
  </si>
  <si>
    <t>Filtered out data of west and east region,so we get north and south only.</t>
  </si>
  <si>
    <t>So sorting means arranging data in some order either ascending or descending and filtering refers to getting data from the table that we are interested in seeing or analyzing .</t>
  </si>
  <si>
    <t>Create a PivotChart showing Monthly Sales Trend</t>
  </si>
  <si>
    <t xml:space="preserve">Use a Slicer to filter data by Product and observe changes in sales._x000B_
</t>
  </si>
  <si>
    <t xml:space="preserve">Dashboards are important for business analysis because they provide real-time, visualized data that enables faster, more informed decision-making. They consolidate information from multiple sources into a single, easily understandable view, allowing businesses to monitor performance, identify trends, and respond quickly to opportunities and challenges. </t>
  </si>
  <si>
    <t>GETPIVOTDATA("Sales",$D$234,"Fruit","Group1")/GETPIVOTDATA("Sales",$D$234,"Fruit","Mangoes")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</si>
</sst>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alibri"/>
      <family val="2"/>
      <scheme val="minor"/>
    </font>
    <font>
      <b/>
      <u/>
      <sz val="11"/>
      <color theme="1"/>
      <name val="Calibri"/>
      <family val="2"/>
      <scheme val="minor"/>
    </font>
    <font>
      <sz val="9"/>
      <color indexed="81"/>
      <name val="Tahoma"/>
      <family val="2"/>
    </font>
    <font>
      <b/>
      <sz val="9"/>
      <color indexed="81"/>
      <name val="Tahoma"/>
      <family val="2"/>
    </font>
    <font>
      <sz val="14"/>
      <color theme="1"/>
      <name val="Calibri"/>
      <family val="2"/>
      <scheme val="minor"/>
    </font>
    <font>
      <b/>
      <sz val="14"/>
      <color theme="1"/>
      <name val="Calibri"/>
      <family val="2"/>
      <scheme val="minor"/>
    </font>
    <font>
      <b/>
      <sz val="20"/>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0" fontId="0" fillId="0" borderId="0" xfId="0" applyAlignment="1">
      <alignment wrapText="1"/>
    </xf>
    <xf numFmtId="10" fontId="0" fillId="0" borderId="0" xfId="0" applyNumberFormat="1"/>
    <xf numFmtId="0" fontId="16" fillId="0" borderId="0" xfId="0" applyFont="1"/>
    <xf numFmtId="0" fontId="19" fillId="0" borderId="0" xfId="0" applyFont="1"/>
    <xf numFmtId="0" fontId="16" fillId="0" borderId="10" xfId="0" applyFont="1" applyBorder="1" applyAlignment="1">
      <alignment horizontal="center" vertical="top" wrapText="1"/>
    </xf>
    <xf numFmtId="14" fontId="0" fillId="0" borderId="10" xfId="0" applyNumberFormat="1" applyBorder="1" applyAlignment="1">
      <alignment horizontal="right" wrapText="1"/>
    </xf>
    <xf numFmtId="0" fontId="0" fillId="0" borderId="10" xfId="0" applyBorder="1" applyAlignment="1">
      <alignment wrapText="1"/>
    </xf>
    <xf numFmtId="0" fontId="0" fillId="0" borderId="10" xfId="0" applyBorder="1" applyAlignment="1">
      <alignment horizontal="right"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xf numFmtId="14" fontId="16" fillId="0" borderId="0" xfId="0" applyNumberFormat="1" applyFont="1"/>
    <xf numFmtId="14" fontId="0" fillId="0" borderId="0" xfId="0" applyNumberFormat="1" applyAlignment="1">
      <alignment horizontal="left"/>
    </xf>
    <xf numFmtId="0" fontId="0" fillId="0" borderId="0" xfId="0" applyAlignment="1">
      <alignment vertical="top"/>
    </xf>
    <xf numFmtId="0" fontId="0" fillId="36" borderId="0" xfId="0" applyFill="1"/>
    <xf numFmtId="0" fontId="0" fillId="36" borderId="0" xfId="0" applyNumberFormat="1" applyFill="1"/>
    <xf numFmtId="0" fontId="0" fillId="36" borderId="0" xfId="0" applyFill="1" applyAlignment="1">
      <alignment horizontal="left" indent="1"/>
    </xf>
    <xf numFmtId="14" fontId="0" fillId="36" borderId="0" xfId="0" applyNumberFormat="1" applyFill="1" applyAlignment="1">
      <alignment horizontal="left"/>
    </xf>
    <xf numFmtId="0" fontId="0" fillId="36" borderId="0" xfId="0" applyFill="1" applyAlignment="1">
      <alignment horizontal="left" indent="2"/>
    </xf>
    <xf numFmtId="14" fontId="0" fillId="0" borderId="0" xfId="0" applyNumberFormat="1" applyAlignment="1">
      <alignment horizontal="left" indent="2"/>
    </xf>
    <xf numFmtId="0" fontId="0" fillId="0" borderId="0" xfId="0" applyAlignment="1">
      <alignment horizontal="left" vertical="top"/>
    </xf>
    <xf numFmtId="0" fontId="24" fillId="34" borderId="0" xfId="0" applyFont="1" applyFill="1" applyAlignment="1">
      <alignment horizontal="center" vertical="center"/>
    </xf>
    <xf numFmtId="0" fontId="24" fillId="35" borderId="0" xfId="0" applyFont="1" applyFill="1" applyAlignment="1">
      <alignment horizontal="center" vertical="center"/>
    </xf>
    <xf numFmtId="0" fontId="23" fillId="34" borderId="0" xfId="0" applyFont="1" applyFill="1" applyAlignment="1">
      <alignment horizontal="center" vertical="center"/>
    </xf>
    <xf numFmtId="0" fontId="23" fillId="33" borderId="0" xfId="0" applyFont="1" applyFill="1" applyAlignment="1">
      <alignment horizontal="center" vertical="center"/>
    </xf>
    <xf numFmtId="0" fontId="22" fillId="0" borderId="0" xfId="0" applyFont="1" applyAlignment="1">
      <alignment horizontal="center" vertical="center"/>
    </xf>
    <xf numFmtId="0" fontId="0" fillId="37" borderId="0" xfId="0" applyFill="1" applyAlignment="1">
      <alignment horizontal="left" vertical="top"/>
    </xf>
    <xf numFmtId="0" fontId="0" fillId="0" borderId="0" xfId="0" applyAlignment="1">
      <alignment horizontal="left" vertical="top" wrapText="1"/>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[assignment-2222.xlsx]assignment-22!PivotTable4</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'assignment-22'!$E$174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'assignment-22'!$D$175:$D$196</c:f>
              <c:multiLvlStrCache>
                <c:ptCount val="15"/>
                <c:lvl>
                  <c:pt idx="0">
                    <c:v>Apples</c:v>
                  </c:pt>
                  <c:pt idx="1">
                    <c:v>Oranges</c:v>
                  </c:pt>
                  <c:pt idx="2">
                    <c:v>Mangoes</c:v>
                  </c:pt>
                  <c:pt idx="3">
                    <c:v>Apples</c:v>
                  </c:pt>
                  <c:pt idx="4">
                    <c:v>Oranges</c:v>
                  </c:pt>
                  <c:pt idx="5">
                    <c:v>Mangoes</c:v>
                  </c:pt>
                  <c:pt idx="6">
                    <c:v>Apples</c:v>
                  </c:pt>
                  <c:pt idx="7">
                    <c:v>Oranges</c:v>
                  </c:pt>
                  <c:pt idx="8">
                    <c:v>Mangoes</c:v>
                  </c:pt>
                  <c:pt idx="9">
                    <c:v>Oranges</c:v>
                  </c:pt>
                  <c:pt idx="10">
                    <c:v>Mangoes</c:v>
                  </c:pt>
                  <c:pt idx="11">
                    <c:v>Oranges</c:v>
                  </c:pt>
                  <c:pt idx="12">
                    <c:v>Mangoes</c:v>
                  </c:pt>
                  <c:pt idx="13">
                    <c:v>Apples</c:v>
                  </c:pt>
                  <c:pt idx="14">
                    <c:v>Oranges</c:v>
                  </c:pt>
                </c:lvl>
                <c:lvl>
                  <c:pt idx="0">
                    <c:v>Group1</c:v>
                  </c:pt>
                  <c:pt idx="2">
                    <c:v>Mangoes</c:v>
                  </c:pt>
                  <c:pt idx="3">
                    <c:v>Group1</c:v>
                  </c:pt>
                  <c:pt idx="5">
                    <c:v>Mangoes</c:v>
                  </c:pt>
                  <c:pt idx="6">
                    <c:v>Group1</c:v>
                  </c:pt>
                  <c:pt idx="8">
                    <c:v>Mangoes</c:v>
                  </c:pt>
                  <c:pt idx="9">
                    <c:v>Group1</c:v>
                  </c:pt>
                  <c:pt idx="10">
                    <c:v>Mangoes</c:v>
                  </c:pt>
                  <c:pt idx="11">
                    <c:v>Group1</c:v>
                  </c:pt>
                  <c:pt idx="12">
                    <c:v>Mangoes</c:v>
                  </c:pt>
                  <c:pt idx="13">
                    <c:v>Group1</c:v>
                  </c:pt>
                </c:lvl>
                <c:lvl>
                  <c:pt idx="0">
                    <c:v>Jan</c:v>
                  </c:pt>
                  <c:pt idx="3">
                    <c:v>Feb</c:v>
                  </c:pt>
                  <c:pt idx="6">
                    <c:v>Mar</c:v>
                  </c:pt>
                  <c:pt idx="9">
                    <c:v>Apr</c:v>
                  </c:pt>
                  <c:pt idx="11">
                    <c:v>May</c:v>
                  </c:pt>
                  <c:pt idx="13">
                    <c:v>Jun</c:v>
                  </c:pt>
                </c:lvl>
              </c:multiLvlStrCache>
            </c:multiLvlStrRef>
          </c:cat>
          <c:val>
            <c:numRef>
              <c:f>'assignment-22'!$E$175:$E$196</c:f>
              <c:numCache>
                <c:formatCode>General</c:formatCode>
                <c:ptCount val="15"/>
                <c:pt idx="0">
                  <c:v>230</c:v>
                </c:pt>
                <c:pt idx="1">
                  <c:v>348</c:v>
                </c:pt>
                <c:pt idx="2">
                  <c:v>703</c:v>
                </c:pt>
                <c:pt idx="3">
                  <c:v>417</c:v>
                </c:pt>
                <c:pt idx="4">
                  <c:v>334</c:v>
                </c:pt>
                <c:pt idx="5">
                  <c:v>281</c:v>
                </c:pt>
                <c:pt idx="6">
                  <c:v>441</c:v>
                </c:pt>
                <c:pt idx="7">
                  <c:v>441</c:v>
                </c:pt>
                <c:pt idx="8">
                  <c:v>76</c:v>
                </c:pt>
                <c:pt idx="9">
                  <c:v>483</c:v>
                </c:pt>
              </c:numCache>
            </c:numRef>
          </c:val>
          <c:smooth val="0"/>
          <c:extLst>
            <c:ext xmlns:c16="http://schemas.microsoft.com/office/drawing/2014/chart" uri="{C3380CC4-5D6E-409C-BE32-E72D297353CC}">
              <c16:uniqueId val="{00000003-D718-4F98-8F74-B23400F60FE6}"/>
            </c:ext>
          </c:extLst>
        </c:ser>
        <c:dLbls>
          <c:showLegendKey val="0"/>
          <c:showVal val="0"/>
          <c:showCatName val="0"/>
          <c:showSerName val="0"/>
          <c:showPercent val="0"/>
          <c:showBubbleSize val="0"/>
        </c:dLbls>
        <c:marker val="1"/>
        <c:smooth val="0"/>
        <c:axId val="1130356399"/>
        <c:axId val="1130353903"/>
      </c:lineChart>
      <c:catAx>
        <c:axId val="113035639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353903"/>
        <c:crosses val="autoZero"/>
        <c:auto val="1"/>
        <c:lblAlgn val="ctr"/>
        <c:lblOffset val="100"/>
        <c:noMultiLvlLbl val="0"/>
      </c:catAx>
      <c:valAx>
        <c:axId val="11303539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35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[assignment-2222.xlsx]assignment-22!PivotTable2</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'assignment-22'!$E$38</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'assignment-22'!$D$39:$D$67</c:f>
              <c:multiLvlStrCache>
                <c:ptCount val="18"/>
                <c:lvl>
                  <c:pt idx="0">
                    <c:v>Apr</c:v>
                  </c:pt>
                  <c:pt idx="1">
                    <c:v>Jun</c:v>
                  </c:pt>
                  <c:pt idx="2">
                    <c:v>Jan</c:v>
                  </c:pt>
                  <c:pt idx="3">
                    <c:v>Feb</c:v>
                  </c:pt>
                  <c:pt idx="4">
                    <c:v>May</c:v>
                  </c:pt>
                  <c:pt idx="5">
                    <c:v>Jun</c:v>
                  </c:pt>
                  <c:pt idx="6">
                    <c:v>Jan</c:v>
                  </c:pt>
                  <c:pt idx="7">
                    <c:v>Mar</c:v>
                  </c:pt>
                  <c:pt idx="8">
                    <c:v>Apr</c:v>
                  </c:pt>
                  <c:pt idx="9">
                    <c:v>May</c:v>
                  </c:pt>
                  <c:pt idx="10">
                    <c:v>Jan</c:v>
                  </c:pt>
                  <c:pt idx="11">
                    <c:v>Feb</c:v>
                  </c:pt>
                  <c:pt idx="12">
                    <c:v>Mar</c:v>
                  </c:pt>
                  <c:pt idx="13">
                    <c:v>Apr</c:v>
                  </c:pt>
                  <c:pt idx="14">
                    <c:v>Jun</c:v>
                  </c:pt>
                  <c:pt idx="15">
                    <c:v>Jan</c:v>
                  </c:pt>
                  <c:pt idx="16">
                    <c:v>Feb</c:v>
                  </c:pt>
                  <c:pt idx="17">
                    <c:v>May</c:v>
                  </c:pt>
                </c:lvl>
                <c:lvl>
                  <c:pt idx="0">
                    <c:v>Mangoes</c:v>
                  </c:pt>
                  <c:pt idx="1">
                    <c:v>Group1</c:v>
                  </c:pt>
                  <c:pt idx="2">
                    <c:v>Group1</c:v>
                  </c:pt>
                  <c:pt idx="6">
                    <c:v>Mangoes</c:v>
                  </c:pt>
                  <c:pt idx="10">
                    <c:v>Group1</c:v>
                  </c:pt>
                  <c:pt idx="15">
                    <c:v>Mangoes</c:v>
                  </c:pt>
                </c:lvl>
                <c:lvl>
                  <c:pt idx="0">
                    <c:v>East</c:v>
                  </c:pt>
                  <c:pt idx="1">
                    <c:v>North</c:v>
                  </c:pt>
                  <c:pt idx="2">
                    <c:v>South</c:v>
                  </c:pt>
                  <c:pt idx="10">
                    <c:v>West</c:v>
                  </c:pt>
                </c:lvl>
              </c:multiLvlStrCache>
            </c:multiLvlStrRef>
          </c:cat>
          <c:val>
            <c:numRef>
              <c:f>'assignment-22'!$E$39:$E$67</c:f>
              <c:numCache>
                <c:formatCode>General</c:formatCode>
                <c:ptCount val="18"/>
                <c:pt idx="0">
                  <c:v>467</c:v>
                </c:pt>
                <c:pt idx="1">
                  <c:v>347</c:v>
                </c:pt>
                <c:pt idx="2">
                  <c:v>348</c:v>
                </c:pt>
                <c:pt idx="3">
                  <c:v>417</c:v>
                </c:pt>
                <c:pt idx="4">
                  <c:v>497</c:v>
                </c:pt>
                <c:pt idx="5">
                  <c:v>319</c:v>
                </c:pt>
                <c:pt idx="6">
                  <c:v>247</c:v>
                </c:pt>
                <c:pt idx="7">
                  <c:v>76</c:v>
                </c:pt>
                <c:pt idx="8">
                  <c:v>205</c:v>
                </c:pt>
                <c:pt idx="9">
                  <c:v>409</c:v>
                </c:pt>
                <c:pt idx="10">
                  <c:v>230</c:v>
                </c:pt>
                <c:pt idx="11">
                  <c:v>334</c:v>
                </c:pt>
                <c:pt idx="12">
                  <c:v>882</c:v>
                </c:pt>
                <c:pt idx="13">
                  <c:v>483</c:v>
                </c:pt>
                <c:pt idx="14">
                  <c:v>451</c:v>
                </c:pt>
                <c:pt idx="15">
                  <c:v>456</c:v>
                </c:pt>
                <c:pt idx="16">
                  <c:v>281</c:v>
                </c:pt>
                <c:pt idx="17">
                  <c:v>380</c:v>
                </c:pt>
              </c:numCache>
            </c:numRef>
          </c:val>
          <c:extLst>
            <c:ext xmlns:c16="http://schemas.microsoft.com/office/drawing/2014/chart" uri="{C3380CC4-5D6E-409C-BE32-E72D297353CC}">
              <c16:uniqueId val="{00000000-209A-4F11-9DC1-814AB14E2774}"/>
            </c:ext>
          </c:extLst>
        </c:ser>
        <c:ser>
          <c:idx val="1"/>
          <c:order val="1"/>
          <c:tx>
            <c:strRef>
              <c:f>'assignment-22'!$F$38</c:f>
              <c:strCache>
                <c:ptCount val="1"/>
                <c:pt idx="0">
                  <c:v>Sum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'assignment-22'!$D$39:$D$67</c:f>
              <c:multiLvlStrCache>
                <c:ptCount val="18"/>
                <c:lvl>
                  <c:pt idx="0">
                    <c:v>Apr</c:v>
                  </c:pt>
                  <c:pt idx="1">
                    <c:v>Jun</c:v>
                  </c:pt>
                  <c:pt idx="2">
                    <c:v>Jan</c:v>
                  </c:pt>
                  <c:pt idx="3">
                    <c:v>Feb</c:v>
                  </c:pt>
                  <c:pt idx="4">
                    <c:v>May</c:v>
                  </c:pt>
                  <c:pt idx="5">
                    <c:v>Jun</c:v>
                  </c:pt>
                  <c:pt idx="6">
                    <c:v>Jan</c:v>
                  </c:pt>
                  <c:pt idx="7">
                    <c:v>Mar</c:v>
                  </c:pt>
                  <c:pt idx="8">
                    <c:v>Apr</c:v>
                  </c:pt>
                  <c:pt idx="9">
                    <c:v>May</c:v>
                  </c:pt>
                  <c:pt idx="10">
                    <c:v>Jan</c:v>
                  </c:pt>
                  <c:pt idx="11">
                    <c:v>Feb</c:v>
                  </c:pt>
                  <c:pt idx="12">
                    <c:v>Mar</c:v>
                  </c:pt>
                  <c:pt idx="13">
                    <c:v>Apr</c:v>
                  </c:pt>
                  <c:pt idx="14">
                    <c:v>Jun</c:v>
                  </c:pt>
                  <c:pt idx="15">
                    <c:v>Jan</c:v>
                  </c:pt>
                  <c:pt idx="16">
                    <c:v>Feb</c:v>
                  </c:pt>
                  <c:pt idx="17">
                    <c:v>May</c:v>
                  </c:pt>
                </c:lvl>
                <c:lvl>
                  <c:pt idx="0">
                    <c:v>Mangoes</c:v>
                  </c:pt>
                  <c:pt idx="1">
                    <c:v>Group1</c:v>
                  </c:pt>
                  <c:pt idx="2">
                    <c:v>Group1</c:v>
                  </c:pt>
                  <c:pt idx="6">
                    <c:v>Mangoes</c:v>
                  </c:pt>
                  <c:pt idx="10">
                    <c:v>Group1</c:v>
                  </c:pt>
                  <c:pt idx="15">
                    <c:v>Mangoes</c:v>
                  </c:pt>
                </c:lvl>
                <c:lvl>
                  <c:pt idx="0">
                    <c:v>East</c:v>
                  </c:pt>
                  <c:pt idx="1">
                    <c:v>North</c:v>
                  </c:pt>
                  <c:pt idx="2">
                    <c:v>South</c:v>
                  </c:pt>
                  <c:pt idx="10">
                    <c:v>West</c:v>
                  </c:pt>
                </c:lvl>
              </c:multiLvlStrCache>
            </c:multiLvlStrRef>
          </c:cat>
          <c:val>
            <c:numRef>
              <c:f>'assignment-22'!$F$39:$F$67</c:f>
              <c:numCache>
                <c:formatCode>General</c:formatCode>
                <c:ptCount val="18"/>
                <c:pt idx="0">
                  <c:v>97</c:v>
                </c:pt>
                <c:pt idx="1">
                  <c:v>35</c:v>
                </c:pt>
                <c:pt idx="2">
                  <c:v>56</c:v>
                </c:pt>
                <c:pt idx="3">
                  <c:v>29</c:v>
                </c:pt>
                <c:pt idx="4">
                  <c:v>71</c:v>
                </c:pt>
                <c:pt idx="5">
                  <c:v>45</c:v>
                </c:pt>
                <c:pt idx="6">
                  <c:v>76</c:v>
                </c:pt>
                <c:pt idx="7">
                  <c:v>63</c:v>
                </c:pt>
                <c:pt idx="8">
                  <c:v>23</c:v>
                </c:pt>
                <c:pt idx="9">
                  <c:v>81</c:v>
                </c:pt>
                <c:pt idx="10">
                  <c:v>37</c:v>
                </c:pt>
                <c:pt idx="11">
                  <c:v>52</c:v>
                </c:pt>
                <c:pt idx="12">
                  <c:v>123</c:v>
                </c:pt>
                <c:pt idx="13">
                  <c:v>97</c:v>
                </c:pt>
                <c:pt idx="14">
                  <c:v>78</c:v>
                </c:pt>
                <c:pt idx="15">
                  <c:v>93</c:v>
                </c:pt>
                <c:pt idx="16">
                  <c:v>50</c:v>
                </c:pt>
                <c:pt idx="17">
                  <c:v>92</c:v>
                </c:pt>
              </c:numCache>
            </c:numRef>
          </c:val>
          <c:extLst>
            <c:ext xmlns:c16="http://schemas.microsoft.com/office/drawing/2014/chart" uri="{C3380CC4-5D6E-409C-BE32-E72D297353CC}">
              <c16:uniqueId val="{00000001-209A-4F11-9DC1-814AB14E2774}"/>
            </c:ext>
          </c:extLst>
        </c:ser>
        <c:dLbls>
          <c:showLegendKey val="0"/>
          <c:showVal val="0"/>
          <c:showCatName val="0"/>
          <c:showSerName val="0"/>
          <c:showPercent val="0"/>
          <c:showBubbleSize val="0"/>
        </c:dLbls>
        <c:gapWidth val="315"/>
        <c:overlap val="-40"/>
        <c:axId val="862649680"/>
        <c:axId val="862660496"/>
      </c:barChart>
      <c:catAx>
        <c:axId val="862649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2660496"/>
        <c:crosses val="autoZero"/>
        <c:auto val="1"/>
        <c:lblAlgn val="ctr"/>
        <c:lblOffset val="100"/>
        <c:noMultiLvlLbl val="0"/>
      </c:catAx>
      <c:valAx>
        <c:axId val="8626604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264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[assignment-2222.xlsx]assignment-22!PivotTable4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'assignment-22'!$E$174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'assignment-22'!$D$175:$D$196</c:f>
              <c:multiLvlStrCache>
                <c:ptCount val="15"/>
                <c:lvl>
                  <c:pt idx="0">
                    <c:v>Apples</c:v>
                  </c:pt>
                  <c:pt idx="1">
                    <c:v>Oranges</c:v>
                  </c:pt>
                  <c:pt idx="2">
                    <c:v>Mangoes</c:v>
                  </c:pt>
                  <c:pt idx="3">
                    <c:v>Apples</c:v>
                  </c:pt>
                  <c:pt idx="4">
                    <c:v>Oranges</c:v>
                  </c:pt>
                  <c:pt idx="5">
                    <c:v>Mangoes</c:v>
                  </c:pt>
                  <c:pt idx="6">
                    <c:v>Apples</c:v>
                  </c:pt>
                  <c:pt idx="7">
                    <c:v>Oranges</c:v>
                  </c:pt>
                  <c:pt idx="8">
                    <c:v>Mangoes</c:v>
                  </c:pt>
                  <c:pt idx="9">
                    <c:v>Oranges</c:v>
                  </c:pt>
                  <c:pt idx="10">
                    <c:v>Mangoes</c:v>
                  </c:pt>
                  <c:pt idx="11">
                    <c:v>Oranges</c:v>
                  </c:pt>
                  <c:pt idx="12">
                    <c:v>Mangoes</c:v>
                  </c:pt>
                  <c:pt idx="13">
                    <c:v>Apples</c:v>
                  </c:pt>
                  <c:pt idx="14">
                    <c:v>Oranges</c:v>
                  </c:pt>
                </c:lvl>
                <c:lvl>
                  <c:pt idx="0">
                    <c:v>Group1</c:v>
                  </c:pt>
                  <c:pt idx="2">
                    <c:v>Mangoes</c:v>
                  </c:pt>
                  <c:pt idx="3">
                    <c:v>Group1</c:v>
                  </c:pt>
                  <c:pt idx="5">
                    <c:v>Mangoes</c:v>
                  </c:pt>
                  <c:pt idx="6">
                    <c:v>Group1</c:v>
                  </c:pt>
                  <c:pt idx="8">
                    <c:v>Mangoes</c:v>
                  </c:pt>
                  <c:pt idx="9">
                    <c:v>Group1</c:v>
                  </c:pt>
                  <c:pt idx="10">
                    <c:v>Mangoes</c:v>
                  </c:pt>
                  <c:pt idx="11">
                    <c:v>Group1</c:v>
                  </c:pt>
                  <c:pt idx="12">
                    <c:v>Mangoes</c:v>
                  </c:pt>
                  <c:pt idx="13">
                    <c:v>Group1</c:v>
                  </c:pt>
                </c:lvl>
                <c:lvl>
                  <c:pt idx="0">
                    <c:v>Jan</c:v>
                  </c:pt>
                  <c:pt idx="3">
                    <c:v>Feb</c:v>
                  </c:pt>
                  <c:pt idx="6">
                    <c:v>Mar</c:v>
                  </c:pt>
                  <c:pt idx="9">
                    <c:v>Apr</c:v>
                  </c:pt>
                  <c:pt idx="11">
                    <c:v>May</c:v>
                  </c:pt>
                  <c:pt idx="13">
                    <c:v>Jun</c:v>
                  </c:pt>
                </c:lvl>
              </c:multiLvlStrCache>
            </c:multiLvlStrRef>
          </c:cat>
          <c:val>
            <c:numRef>
              <c:f>'assignment-22'!$E$175:$E$196</c:f>
              <c:numCache>
                <c:formatCode>General</c:formatCode>
                <c:ptCount val="15"/>
                <c:pt idx="0">
                  <c:v>230</c:v>
                </c:pt>
                <c:pt idx="1">
                  <c:v>348</c:v>
                </c:pt>
                <c:pt idx="2">
                  <c:v>703</c:v>
                </c:pt>
                <c:pt idx="3">
                  <c:v>417</c:v>
                </c:pt>
                <c:pt idx="4">
                  <c:v>334</c:v>
                </c:pt>
                <c:pt idx="5">
                  <c:v>281</c:v>
                </c:pt>
                <c:pt idx="6">
                  <c:v>441</c:v>
                </c:pt>
                <c:pt idx="7">
                  <c:v>441</c:v>
                </c:pt>
                <c:pt idx="8">
                  <c:v>76</c:v>
                </c:pt>
                <c:pt idx="9">
                  <c:v>483</c:v>
                </c:pt>
              </c:numCache>
            </c:numRef>
          </c:val>
          <c:extLst>
            <c:ext xmlns:c16="http://schemas.microsoft.com/office/drawing/2014/chart" uri="{C3380CC4-5D6E-409C-BE32-E72D297353CC}">
              <c16:uniqueId val="{00000000-47BA-4E41-BD4C-1D2CCCF33687}"/>
            </c:ext>
          </c:extLst>
        </c:ser>
        <c:dLbls>
          <c:showLegendKey val="0"/>
          <c:showVal val="0"/>
          <c:showCatName val="0"/>
          <c:showSerName val="0"/>
          <c:showPercent val="0"/>
          <c:showBubbleSize val="0"/>
        </c:dLbls>
        <c:gapWidth val="100"/>
        <c:overlap val="-24"/>
        <c:axId val="1100576496"/>
        <c:axId val="1100571920"/>
      </c:barChart>
      <c:catAx>
        <c:axId val="1100576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571920"/>
        <c:crosses val="autoZero"/>
        <c:auto val="1"/>
        <c:lblAlgn val="ctr"/>
        <c:lblOffset val="100"/>
        <c:noMultiLvlLbl val="0"/>
      </c:catAx>
      <c:valAx>
        <c:axId val="1100571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57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154</xdr:row>
      <xdr:rowOff>1</xdr:rowOff>
    </xdr:from>
    <xdr:to>
      <xdr:col>6</xdr:col>
      <xdr:colOff>61409</xdr:colOff>
      <xdr:row>162</xdr:row>
      <xdr:rowOff>38101</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3F3EC9D2-6D25-43C7-8C93-534AC9DBF90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70942" y="26193751"/>
              <a:ext cx="2757717" cy="1503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394730</xdr:colOff>
      <xdr:row>187</xdr:row>
      <xdr:rowOff>73454</xdr:rowOff>
    </xdr:from>
    <xdr:to>
      <xdr:col>14</xdr:col>
      <xdr:colOff>96108</xdr:colOff>
      <xdr:row>201</xdr:row>
      <xdr:rowOff>27459</xdr:rowOff>
    </xdr:to>
    <xdr:graphicFrame macro="">
      <xdr:nvGraphicFramePr>
        <xdr:cNvPr id="6" name="Chart 5">
          <a:extLst>
            <a:ext uri="{FF2B5EF4-FFF2-40B4-BE49-F238E27FC236}">
              <a16:creationId xmlns:a16="http://schemas.microsoft.com/office/drawing/2014/main" id="{C707B374-BB56-4688-B094-4320E0C62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43962</xdr:colOff>
      <xdr:row>196</xdr:row>
      <xdr:rowOff>66865</xdr:rowOff>
    </xdr:from>
    <xdr:to>
      <xdr:col>6</xdr:col>
      <xdr:colOff>136290</xdr:colOff>
      <xdr:row>201</xdr:row>
      <xdr:rowOff>112108</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748A7E24-F8BF-4857-8F92-987623054B8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14904" y="33953884"/>
              <a:ext cx="2788636" cy="961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134</xdr:row>
      <xdr:rowOff>0</xdr:rowOff>
    </xdr:from>
    <xdr:to>
      <xdr:col>11</xdr:col>
      <xdr:colOff>21981</xdr:colOff>
      <xdr:row>148</xdr:row>
      <xdr:rowOff>178776</xdr:rowOff>
    </xdr:to>
    <xdr:graphicFrame macro="">
      <xdr:nvGraphicFramePr>
        <xdr:cNvPr id="8" name="Chart 7">
          <a:extLst>
            <a:ext uri="{FF2B5EF4-FFF2-40B4-BE49-F238E27FC236}">
              <a16:creationId xmlns:a16="http://schemas.microsoft.com/office/drawing/2014/main" id="{C84D733B-D6CE-42BB-8BBC-CC55633A1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391990</xdr:colOff>
      <xdr:row>173</xdr:row>
      <xdr:rowOff>161193</xdr:rowOff>
    </xdr:from>
    <xdr:to>
      <xdr:col>14</xdr:col>
      <xdr:colOff>102577</xdr:colOff>
      <xdr:row>187</xdr:row>
      <xdr:rowOff>16119</xdr:rowOff>
    </xdr:to>
    <xdr:graphicFrame macro="">
      <xdr:nvGraphicFramePr>
        <xdr:cNvPr id="9" name="Chart 8">
          <a:extLst>
            <a:ext uri="{FF2B5EF4-FFF2-40B4-BE49-F238E27FC236}">
              <a16:creationId xmlns:a16="http://schemas.microsoft.com/office/drawing/2014/main" id="{0680BF72-A41C-4F10-BE9C-41E539D9E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kartik Mishra" refreshedDate="45969.595100462961" createdVersion="7" refreshedVersion="7" minRefreshableVersion="3" recordCount="20" xr:uid="{10AE4E7E-611B-4F02-BB13-CC18B7D97F05}">
  <cacheSource type="worksheet">
    <worksheetSource ref="I9:M29" sheet="assignment-22"/>
  </cacheSource>
  <cacheFields count="6">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base="0">
        <rangePr groupBy="months" startDate="2024-01-01T00:00:00" endDate="2024-07-01T00:00:00"/>
        <groupItems count="14">
          <s v="&lt;01-01-2024"/>
          <s v="Jan"/>
          <s v="Feb"/>
          <s v="Mar"/>
          <s v="Apr"/>
          <s v="May"/>
          <s v="Jun"/>
          <s v="Jul"/>
          <s v="Aug"/>
          <s v="Sep"/>
          <s v="Oct"/>
          <s v="Nov"/>
          <s v="Dec"/>
          <s v="&gt;01-07-2024"/>
        </groupItems>
      </fieldGroup>
    </cacheField>
    <cacheField name="Region" numFmtId="0">
      <sharedItems count="4">
        <s v="West"/>
        <s v="South"/>
        <s v="East"/>
        <s v="North"/>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981331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5A48B-72AF-4D35-B4CA-EE096C0162D3}"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174:E196" firstHeaderRow="1" firstDataRow="1" firstDataCol="1"/>
  <pivotFields count="6">
    <pivotField axis="axisRow" numFmtId="14" showAll="0">
      <items count="15">
        <item x="0"/>
        <item x="1"/>
        <item x="2"/>
        <item x="3"/>
        <item x="4"/>
        <item x="5"/>
        <item x="6"/>
        <item x="7"/>
        <item x="8"/>
        <item x="9"/>
        <item x="10"/>
        <item x="11"/>
        <item x="12"/>
        <item x="13"/>
        <item t="default"/>
      </items>
    </pivotField>
    <pivotField showAll="0">
      <items count="5">
        <item x="2"/>
        <item x="3"/>
        <item x="1"/>
        <item x="0"/>
        <item t="default"/>
      </items>
    </pivotField>
    <pivotField axis="axisRow" showAll="0">
      <items count="4">
        <item x="2"/>
        <item x="0"/>
        <item x="1"/>
        <item t="default"/>
      </items>
    </pivotField>
    <pivotField dataField="1" showAll="0"/>
    <pivotField showAll="0"/>
    <pivotField axis="axisRow" showAll="0">
      <items count="3">
        <item x="1"/>
        <item x="0"/>
        <item t="default"/>
      </items>
    </pivotField>
  </pivotFields>
  <rowFields count="3">
    <field x="0"/>
    <field x="5"/>
    <field x="2"/>
  </rowFields>
  <rowItems count="33">
    <i>
      <x v="1"/>
    </i>
    <i r="1">
      <x/>
    </i>
    <i r="2">
      <x/>
    </i>
    <i r="2">
      <x v="2"/>
    </i>
    <i r="1">
      <x v="1"/>
    </i>
    <i r="2">
      <x v="1"/>
    </i>
    <i>
      <x v="2"/>
    </i>
    <i r="1">
      <x/>
    </i>
    <i r="2">
      <x/>
    </i>
    <i r="2">
      <x v="2"/>
    </i>
    <i r="1">
      <x v="1"/>
    </i>
    <i r="2">
      <x v="1"/>
    </i>
    <i>
      <x v="3"/>
    </i>
    <i r="1">
      <x/>
    </i>
    <i r="2">
      <x/>
    </i>
    <i r="2">
      <x v="2"/>
    </i>
    <i r="1">
      <x v="1"/>
    </i>
    <i r="2">
      <x v="1"/>
    </i>
    <i>
      <x v="4"/>
    </i>
    <i r="1">
      <x/>
    </i>
    <i r="2">
      <x v="2"/>
    </i>
    <i r="1">
      <x v="1"/>
    </i>
    <i r="2">
      <x v="1"/>
    </i>
    <i>
      <x v="5"/>
    </i>
    <i r="1">
      <x/>
    </i>
    <i r="2">
      <x v="2"/>
    </i>
    <i r="1">
      <x v="1"/>
    </i>
    <i r="2">
      <x v="1"/>
    </i>
    <i>
      <x v="6"/>
    </i>
    <i r="1">
      <x/>
    </i>
    <i r="2">
      <x/>
    </i>
    <i r="2">
      <x v="2"/>
    </i>
    <i t="grand">
      <x/>
    </i>
  </rowItems>
  <colItems count="1">
    <i/>
  </colItems>
  <dataFields count="1">
    <dataField name="Sum of Sales" fld="3" baseField="0" baseItem="0"/>
  </dataFields>
  <formats count="4">
    <format dxfId="3">
      <pivotArea type="all" dataOnly="0" outline="0" fieldPosition="0"/>
    </format>
    <format dxfId="2">
      <pivotArea outline="0" collapsedLevelsAreSubtotals="1" fieldPosition="0"/>
    </format>
    <format dxfId="1">
      <pivotArea dataOnly="0" labelOnly="1" grandRow="1" outline="0" fieldPosition="0"/>
    </format>
    <format dxfId="0">
      <pivotArea dataOnly="0" labelOnly="1" outline="0" axis="axisValues" fieldPosition="0"/>
    </format>
  </formats>
  <chartFormats count="2">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D58A9-A8A3-4AF2-943D-BE3E5A46CC1F}"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8:F67" firstHeaderRow="0" firstDataRow="1" firstDataCol="1"/>
  <pivotFields count="6">
    <pivotField axis="axisRow" numFmtId="14" showAll="0">
      <items count="15">
        <item x="0"/>
        <item x="1"/>
        <item x="2"/>
        <item x="3"/>
        <item x="4"/>
        <item x="5"/>
        <item x="6"/>
        <item x="7"/>
        <item x="8"/>
        <item x="9"/>
        <item x="10"/>
        <item x="11"/>
        <item x="12"/>
        <item x="13"/>
        <item t="default"/>
      </items>
    </pivotField>
    <pivotField axis="axisRow" showAll="0">
      <items count="5">
        <item x="2"/>
        <item x="3"/>
        <item x="1"/>
        <item x="0"/>
        <item t="default"/>
      </items>
    </pivotField>
    <pivotField showAll="0">
      <items count="4">
        <item x="2"/>
        <item x="0"/>
        <item x="1"/>
        <item t="default"/>
      </items>
    </pivotField>
    <pivotField dataField="1" showAll="0"/>
    <pivotField dataField="1" showAll="0"/>
    <pivotField axis="axisRow" showAll="0">
      <items count="3">
        <item x="1"/>
        <item x="0"/>
        <item t="default"/>
      </items>
    </pivotField>
  </pivotFields>
  <rowFields count="3">
    <field x="1"/>
    <field x="5"/>
    <field x="0"/>
  </rowFields>
  <rowItems count="29">
    <i>
      <x/>
    </i>
    <i r="1">
      <x v="1"/>
    </i>
    <i r="2">
      <x v="4"/>
    </i>
    <i>
      <x v="1"/>
    </i>
    <i r="1">
      <x/>
    </i>
    <i r="2">
      <x v="6"/>
    </i>
    <i>
      <x v="2"/>
    </i>
    <i r="1">
      <x/>
    </i>
    <i r="2">
      <x v="1"/>
    </i>
    <i r="2">
      <x v="2"/>
    </i>
    <i r="2">
      <x v="5"/>
    </i>
    <i r="2">
      <x v="6"/>
    </i>
    <i r="1">
      <x v="1"/>
    </i>
    <i r="2">
      <x v="1"/>
    </i>
    <i r="2">
      <x v="3"/>
    </i>
    <i r="2">
      <x v="4"/>
    </i>
    <i r="2">
      <x v="5"/>
    </i>
    <i>
      <x v="3"/>
    </i>
    <i r="1">
      <x/>
    </i>
    <i r="2">
      <x v="1"/>
    </i>
    <i r="2">
      <x v="2"/>
    </i>
    <i r="2">
      <x v="3"/>
    </i>
    <i r="2">
      <x v="4"/>
    </i>
    <i r="2">
      <x v="6"/>
    </i>
    <i r="1">
      <x v="1"/>
    </i>
    <i r="2">
      <x v="1"/>
    </i>
    <i r="2">
      <x v="2"/>
    </i>
    <i r="2">
      <x v="5"/>
    </i>
    <i t="grand">
      <x/>
    </i>
  </rowItems>
  <colFields count="1">
    <field x="-2"/>
  </colFields>
  <colItems count="2">
    <i>
      <x/>
    </i>
    <i i="1">
      <x v="1"/>
    </i>
  </colItems>
  <dataFields count="2">
    <dataField name="Sum of Sales" fld="3" baseField="0" baseItem="0"/>
    <dataField name="Sum of Quantity" fld="4"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238E6C-19E7-452F-A73B-1C8CB522F4EE}"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34:E240" firstHeaderRow="1" firstDataRow="1" firstDataCol="1"/>
  <pivotFields count="6">
    <pivotField numFmtId="14" showAll="0"/>
    <pivotField showAll="0">
      <items count="5">
        <item x="2"/>
        <item x="3"/>
        <item x="1"/>
        <item x="0"/>
        <item t="default"/>
      </items>
    </pivotField>
    <pivotField axis="axisRow" showAll="0">
      <items count="4">
        <item x="2"/>
        <item x="0"/>
        <item x="1"/>
        <item t="default"/>
      </items>
    </pivotField>
    <pivotField dataField="1" showAll="0"/>
    <pivotField showAll="0"/>
    <pivotField name="Fruit" axis="axisRow" showAll="0">
      <items count="3">
        <item x="1"/>
        <item x="0"/>
        <item t="default"/>
      </items>
    </pivotField>
  </pivotFields>
  <rowFields count="2">
    <field x="5"/>
    <field x="2"/>
  </rowFields>
  <rowItems count="6">
    <i>
      <x/>
    </i>
    <i r="1">
      <x/>
    </i>
    <i r="1">
      <x v="2"/>
    </i>
    <i>
      <x v="1"/>
    </i>
    <i r="1">
      <x v="1"/>
    </i>
    <i t="grand">
      <x/>
    </i>
  </rowItems>
  <colItems count="1">
    <i/>
  </colItems>
  <dataFields count="1">
    <dataField name="Sum of Sales" fld="3"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2BA94B-FD5E-41BA-9A87-6BCF4B4176EA}"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08:F231" firstHeaderRow="0" firstDataRow="1" firstDataCol="1"/>
  <pivotFields count="6">
    <pivotField axis="axisRow" numFmtId="14" showAll="0" avgSubtotal="1">
      <items count="15">
        <item x="0"/>
        <item x="1"/>
        <item x="2"/>
        <item x="3"/>
        <item x="4"/>
        <item x="5"/>
        <item x="6"/>
        <item x="7"/>
        <item x="8"/>
        <item x="9"/>
        <item x="10"/>
        <item x="11"/>
        <item x="12"/>
        <item x="13"/>
        <item t="avg"/>
      </items>
    </pivotField>
    <pivotField showAll="0">
      <items count="5">
        <item x="2"/>
        <item x="3"/>
        <item x="1"/>
        <item x="0"/>
        <item t="default"/>
      </items>
    </pivotField>
    <pivotField axis="axisRow" showAll="0">
      <items count="4">
        <item x="2"/>
        <item x="0"/>
        <item x="1"/>
        <item t="default"/>
      </items>
    </pivotField>
    <pivotField dataField="1" showAll="0"/>
    <pivotField dataField="1" showAll="0"/>
    <pivotField axis="axisRow" showAll="0">
      <items count="3">
        <item x="1"/>
        <item x="0"/>
        <item t="default"/>
      </items>
    </pivotField>
  </pivotFields>
  <rowFields count="3">
    <field x="0"/>
    <field x="5"/>
    <field x="2"/>
  </rowFields>
  <rowItems count="33">
    <i>
      <x v="1"/>
    </i>
    <i r="1">
      <x/>
    </i>
    <i r="2">
      <x/>
    </i>
    <i r="2">
      <x v="2"/>
    </i>
    <i r="1">
      <x v="1"/>
    </i>
    <i r="2">
      <x v="1"/>
    </i>
    <i>
      <x v="2"/>
    </i>
    <i r="1">
      <x/>
    </i>
    <i r="2">
      <x/>
    </i>
    <i r="2">
      <x v="2"/>
    </i>
    <i r="1">
      <x v="1"/>
    </i>
    <i r="2">
      <x v="1"/>
    </i>
    <i>
      <x v="3"/>
    </i>
    <i r="1">
      <x/>
    </i>
    <i r="2">
      <x/>
    </i>
    <i r="2">
      <x v="2"/>
    </i>
    <i r="1">
      <x v="1"/>
    </i>
    <i r="2">
      <x v="1"/>
    </i>
    <i>
      <x v="4"/>
    </i>
    <i r="1">
      <x/>
    </i>
    <i r="2">
      <x v="2"/>
    </i>
    <i r="1">
      <x v="1"/>
    </i>
    <i r="2">
      <x v="1"/>
    </i>
    <i>
      <x v="5"/>
    </i>
    <i r="1">
      <x/>
    </i>
    <i r="2">
      <x v="2"/>
    </i>
    <i r="1">
      <x v="1"/>
    </i>
    <i r="2">
      <x v="1"/>
    </i>
    <i>
      <x v="6"/>
    </i>
    <i r="1">
      <x/>
    </i>
    <i r="2">
      <x/>
    </i>
    <i r="2">
      <x v="2"/>
    </i>
    <i t="grand">
      <x/>
    </i>
  </rowItems>
  <colFields count="1">
    <field x="-2"/>
  </colFields>
  <colItems count="2">
    <i>
      <x/>
    </i>
    <i i="1">
      <x v="1"/>
    </i>
  </colItems>
  <dataFields count="2">
    <dataField name="Sum of Sales" fld="3" baseField="0" baseItem="0"/>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592DAD5-8E14-41E9-92A6-2BD9B814B74B}" sourceName="Product">
  <data>
    <tabular pivotCacheId="198133105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D0F90E3-17A8-44A2-BC8B-57A254114412}" sourceName="Product">
  <pivotTables>
    <pivotTable tabId="1" name="PivotTable4"/>
  </pivotTables>
  <data>
    <tabular pivotCacheId="198133105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28952D6-A53A-4397-9074-72C29DF238F1}" cache="Slicer_Product" caption="Product" rowHeight="234950"/>
  <slicer name="Product 1" xr10:uid="{AC78033A-8984-4FBB-B706-A7DB4AF7282A}" cache="Slicer_Product1" caption="Product"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2:AA240"/>
  <sheetViews>
    <sheetView tabSelected="1" zoomScale="104" zoomScaleNormal="55" workbookViewId="0">
      <selection activeCell="F8" sqref="F8"/>
    </sheetView>
  </sheetViews>
  <sheetFormatPr defaultRowHeight="14.4" x14ac:dyDescent="0.3"/>
  <cols>
    <col min="3" max="3" width="11" customWidth="1"/>
    <col min="4" max="4" width="12.77734375" bestFit="1" customWidth="1"/>
    <col min="5" max="5" width="11.6640625" bestFit="1" customWidth="1"/>
    <col min="6" max="6" width="14.88671875" bestFit="1" customWidth="1"/>
    <col min="9" max="9" width="11.33203125" customWidth="1"/>
    <col min="13" max="13" width="10.33203125" bestFit="1" customWidth="1"/>
  </cols>
  <sheetData>
    <row r="2" spans="6:19" x14ac:dyDescent="0.3">
      <c r="F2" s="32" t="s">
        <v>44</v>
      </c>
      <c r="G2" s="32"/>
      <c r="H2" s="32"/>
      <c r="I2" s="32"/>
      <c r="J2" s="32"/>
      <c r="K2" s="32"/>
      <c r="L2" s="32"/>
      <c r="M2" s="32"/>
      <c r="N2" s="32"/>
      <c r="O2" s="32"/>
      <c r="P2" s="32"/>
      <c r="Q2" s="32"/>
      <c r="R2" s="32"/>
      <c r="S2" s="32"/>
    </row>
    <row r="3" spans="6:19" x14ac:dyDescent="0.3">
      <c r="F3" s="32"/>
      <c r="G3" s="32"/>
      <c r="H3" s="32"/>
      <c r="I3" s="32"/>
      <c r="J3" s="32"/>
      <c r="K3" s="32"/>
      <c r="L3" s="32"/>
      <c r="M3" s="32"/>
      <c r="N3" s="32"/>
      <c r="O3" s="32"/>
      <c r="P3" s="32"/>
      <c r="Q3" s="32"/>
      <c r="R3" s="32"/>
      <c r="S3" s="32"/>
    </row>
    <row r="4" spans="6:19" x14ac:dyDescent="0.3">
      <c r="F4" s="32"/>
      <c r="G4" s="32"/>
      <c r="H4" s="32"/>
      <c r="I4" s="32"/>
      <c r="J4" s="32"/>
      <c r="K4" s="32"/>
      <c r="L4" s="32"/>
      <c r="M4" s="32"/>
      <c r="N4" s="32"/>
      <c r="O4" s="32"/>
      <c r="P4" s="32"/>
      <c r="Q4" s="32"/>
      <c r="R4" s="32"/>
      <c r="S4" s="32"/>
    </row>
    <row r="5" spans="6:19" x14ac:dyDescent="0.3">
      <c r="F5" s="32"/>
      <c r="G5" s="32"/>
      <c r="H5" s="32"/>
      <c r="I5" s="32"/>
      <c r="J5" s="32"/>
      <c r="K5" s="32"/>
      <c r="L5" s="32"/>
      <c r="M5" s="32"/>
      <c r="N5" s="32"/>
      <c r="O5" s="32"/>
      <c r="P5" s="32"/>
      <c r="Q5" s="32"/>
      <c r="R5" s="32"/>
      <c r="S5" s="32"/>
    </row>
    <row r="6" spans="6:19" x14ac:dyDescent="0.3">
      <c r="F6" s="32"/>
      <c r="G6" s="32"/>
      <c r="H6" s="32"/>
      <c r="I6" s="32"/>
      <c r="J6" s="32"/>
      <c r="K6" s="32"/>
      <c r="L6" s="32"/>
      <c r="M6" s="32"/>
      <c r="N6" s="32"/>
      <c r="O6" s="32"/>
      <c r="P6" s="32"/>
      <c r="Q6" s="32"/>
      <c r="R6" s="32"/>
      <c r="S6" s="32"/>
    </row>
    <row r="7" spans="6:19" x14ac:dyDescent="0.3">
      <c r="F7" s="32"/>
      <c r="G7" s="32"/>
      <c r="H7" s="32"/>
      <c r="I7" s="32"/>
      <c r="J7" s="32"/>
      <c r="K7" s="32"/>
      <c r="L7" s="32"/>
      <c r="M7" s="32"/>
      <c r="N7" s="32"/>
      <c r="O7" s="32"/>
      <c r="P7" s="32"/>
      <c r="Q7" s="32"/>
      <c r="R7" s="32"/>
      <c r="S7" s="32"/>
    </row>
    <row r="8" spans="6:19" x14ac:dyDescent="0.3">
      <c r="H8" s="1"/>
    </row>
    <row r="9" spans="6:19" x14ac:dyDescent="0.3">
      <c r="H9" s="1"/>
      <c r="I9" s="6" t="s">
        <v>0</v>
      </c>
      <c r="J9" s="6" t="s">
        <v>1</v>
      </c>
      <c r="K9" s="6" t="s">
        <v>2</v>
      </c>
      <c r="L9" s="6" t="s">
        <v>3</v>
      </c>
      <c r="M9" s="6" t="s">
        <v>4</v>
      </c>
    </row>
    <row r="10" spans="6:19" x14ac:dyDescent="0.3">
      <c r="H10" s="1"/>
      <c r="I10" s="7">
        <v>45292</v>
      </c>
      <c r="J10" s="8" t="s">
        <v>5</v>
      </c>
      <c r="K10" s="8" t="s">
        <v>6</v>
      </c>
      <c r="L10" s="9">
        <v>456</v>
      </c>
      <c r="M10" s="9">
        <v>93</v>
      </c>
    </row>
    <row r="11" spans="6:19" x14ac:dyDescent="0.3">
      <c r="I11" s="7">
        <v>45301.526319444441</v>
      </c>
      <c r="J11" s="8" t="s">
        <v>7</v>
      </c>
      <c r="K11" s="8" t="s">
        <v>8</v>
      </c>
      <c r="L11" s="9">
        <v>348</v>
      </c>
      <c r="M11" s="9">
        <v>56</v>
      </c>
    </row>
    <row r="12" spans="6:19" x14ac:dyDescent="0.3">
      <c r="I12" s="7">
        <v>45311.052627314813</v>
      </c>
      <c r="J12" s="8" t="s">
        <v>7</v>
      </c>
      <c r="K12" s="8" t="s">
        <v>6</v>
      </c>
      <c r="L12" s="9">
        <v>247</v>
      </c>
      <c r="M12" s="9">
        <v>76</v>
      </c>
    </row>
    <row r="13" spans="6:19" x14ac:dyDescent="0.3">
      <c r="I13" s="7">
        <v>45320.578946759262</v>
      </c>
      <c r="J13" s="8" t="s">
        <v>5</v>
      </c>
      <c r="K13" s="8" t="s">
        <v>9</v>
      </c>
      <c r="L13" s="9">
        <v>230</v>
      </c>
      <c r="M13" s="9">
        <v>37</v>
      </c>
    </row>
    <row r="14" spans="6:19" x14ac:dyDescent="0.3">
      <c r="I14" s="7">
        <v>45330.105266203704</v>
      </c>
      <c r="J14" s="8" t="s">
        <v>5</v>
      </c>
      <c r="K14" s="8" t="s">
        <v>6</v>
      </c>
      <c r="L14" s="9">
        <v>281</v>
      </c>
      <c r="M14" s="9">
        <v>50</v>
      </c>
    </row>
    <row r="15" spans="6:19" x14ac:dyDescent="0.3">
      <c r="I15" s="7">
        <v>45339.631574074076</v>
      </c>
      <c r="J15" s="8" t="s">
        <v>5</v>
      </c>
      <c r="K15" s="8" t="s">
        <v>8</v>
      </c>
      <c r="L15" s="9">
        <v>334</v>
      </c>
      <c r="M15" s="9">
        <v>52</v>
      </c>
    </row>
    <row r="16" spans="6:19" x14ac:dyDescent="0.3">
      <c r="I16" s="7">
        <v>45349.157893518517</v>
      </c>
      <c r="J16" s="8" t="s">
        <v>7</v>
      </c>
      <c r="K16" s="8" t="s">
        <v>9</v>
      </c>
      <c r="L16" s="9">
        <v>417</v>
      </c>
      <c r="M16" s="9">
        <v>29</v>
      </c>
    </row>
    <row r="17" spans="3:22" x14ac:dyDescent="0.3">
      <c r="I17" s="7">
        <v>45358.684212962966</v>
      </c>
      <c r="J17" s="8" t="s">
        <v>5</v>
      </c>
      <c r="K17" s="8" t="s">
        <v>9</v>
      </c>
      <c r="L17" s="9">
        <v>441</v>
      </c>
      <c r="M17" s="9">
        <v>44</v>
      </c>
    </row>
    <row r="18" spans="3:22" x14ac:dyDescent="0.3">
      <c r="H18" s="1"/>
      <c r="I18" s="7">
        <v>45368.210520833331</v>
      </c>
      <c r="J18" s="8" t="s">
        <v>7</v>
      </c>
      <c r="K18" s="8" t="s">
        <v>6</v>
      </c>
      <c r="L18" s="9">
        <v>76</v>
      </c>
      <c r="M18" s="9">
        <v>63</v>
      </c>
    </row>
    <row r="19" spans="3:22" x14ac:dyDescent="0.3">
      <c r="H19" s="1"/>
      <c r="I19" s="7">
        <v>45377.736840277779</v>
      </c>
      <c r="J19" s="8" t="s">
        <v>5</v>
      </c>
      <c r="K19" s="8" t="s">
        <v>8</v>
      </c>
      <c r="L19" s="9">
        <v>441</v>
      </c>
      <c r="M19" s="9">
        <v>79</v>
      </c>
    </row>
    <row r="20" spans="3:22" x14ac:dyDescent="0.3">
      <c r="H20" s="1"/>
      <c r="I20" s="7">
        <v>45387.263159722221</v>
      </c>
      <c r="J20" s="8" t="s">
        <v>7</v>
      </c>
      <c r="K20" s="8" t="s">
        <v>6</v>
      </c>
      <c r="L20" s="9">
        <v>205</v>
      </c>
      <c r="M20" s="9">
        <v>23</v>
      </c>
    </row>
    <row r="21" spans="3:22" x14ac:dyDescent="0.3">
      <c r="H21" s="1"/>
      <c r="I21" s="7">
        <v>45396.789479166669</v>
      </c>
      <c r="J21" s="8" t="s">
        <v>5</v>
      </c>
      <c r="K21" s="8" t="s">
        <v>8</v>
      </c>
      <c r="L21" s="9">
        <v>483</v>
      </c>
      <c r="M21" s="9">
        <v>97</v>
      </c>
    </row>
    <row r="22" spans="3:22" x14ac:dyDescent="0.3">
      <c r="H22" s="1"/>
      <c r="I22" s="7">
        <v>45406.315787037034</v>
      </c>
      <c r="J22" s="8" t="s">
        <v>10</v>
      </c>
      <c r="K22" s="8" t="s">
        <v>6</v>
      </c>
      <c r="L22" s="9">
        <v>467</v>
      </c>
      <c r="M22" s="9">
        <v>97</v>
      </c>
    </row>
    <row r="23" spans="3:22" x14ac:dyDescent="0.3">
      <c r="H23" s="1"/>
      <c r="I23" s="7">
        <v>45415.842106481483</v>
      </c>
      <c r="J23" s="8" t="s">
        <v>5</v>
      </c>
      <c r="K23" s="8" t="s">
        <v>6</v>
      </c>
      <c r="L23" s="9">
        <v>380</v>
      </c>
      <c r="M23" s="9">
        <v>92</v>
      </c>
    </row>
    <row r="24" spans="3:22" x14ac:dyDescent="0.3">
      <c r="H24" s="1"/>
      <c r="I24" s="7">
        <v>45425.368425925924</v>
      </c>
      <c r="J24" s="8" t="s">
        <v>7</v>
      </c>
      <c r="K24" s="8" t="s">
        <v>8</v>
      </c>
      <c r="L24" s="9">
        <v>497</v>
      </c>
      <c r="M24" s="9">
        <v>71</v>
      </c>
    </row>
    <row r="25" spans="3:22" x14ac:dyDescent="0.3">
      <c r="H25" s="1"/>
      <c r="I25" s="7">
        <v>45434.894733796296</v>
      </c>
      <c r="J25" s="8" t="s">
        <v>7</v>
      </c>
      <c r="K25" s="8" t="s">
        <v>6</v>
      </c>
      <c r="L25" s="9">
        <v>409</v>
      </c>
      <c r="M25" s="9">
        <v>81</v>
      </c>
    </row>
    <row r="26" spans="3:22" x14ac:dyDescent="0.3">
      <c r="H26" s="1"/>
      <c r="I26" s="7">
        <v>45444.421053240738</v>
      </c>
      <c r="J26" s="8" t="s">
        <v>5</v>
      </c>
      <c r="K26" s="8" t="s">
        <v>8</v>
      </c>
      <c r="L26" s="9">
        <v>53</v>
      </c>
      <c r="M26" s="9">
        <v>45</v>
      </c>
    </row>
    <row r="27" spans="3:22" x14ac:dyDescent="0.3">
      <c r="H27" s="1"/>
      <c r="I27" s="7">
        <v>45453.947372685187</v>
      </c>
      <c r="J27" s="8" t="s">
        <v>5</v>
      </c>
      <c r="K27" s="8" t="s">
        <v>9</v>
      </c>
      <c r="L27" s="9">
        <v>398</v>
      </c>
      <c r="M27" s="9">
        <v>33</v>
      </c>
    </row>
    <row r="28" spans="3:22" x14ac:dyDescent="0.3">
      <c r="I28" s="7">
        <v>45463.473680555559</v>
      </c>
      <c r="J28" s="8" t="s">
        <v>11</v>
      </c>
      <c r="K28" s="8" t="s">
        <v>8</v>
      </c>
      <c r="L28" s="9">
        <v>347</v>
      </c>
      <c r="M28" s="9">
        <v>35</v>
      </c>
    </row>
    <row r="29" spans="3:22" x14ac:dyDescent="0.3">
      <c r="I29" s="7">
        <v>45473</v>
      </c>
      <c r="J29" s="8" t="s">
        <v>7</v>
      </c>
      <c r="K29" s="8" t="s">
        <v>9</v>
      </c>
      <c r="L29" s="9">
        <v>319</v>
      </c>
      <c r="M29" s="9">
        <v>45</v>
      </c>
    </row>
    <row r="32" spans="3:22" x14ac:dyDescent="0.3">
      <c r="C32" s="5" t="s">
        <v>12</v>
      </c>
      <c r="D32" s="24" t="s">
        <v>13</v>
      </c>
      <c r="E32" s="24"/>
      <c r="F32" s="24"/>
      <c r="G32" s="24"/>
      <c r="H32" s="24"/>
      <c r="I32" s="24"/>
      <c r="J32" s="24"/>
      <c r="K32" s="24"/>
      <c r="L32" s="24"/>
      <c r="M32" s="24"/>
      <c r="N32" s="24"/>
      <c r="O32" s="24"/>
      <c r="P32" s="24"/>
      <c r="Q32" s="24"/>
      <c r="R32" s="24"/>
      <c r="S32" s="24"/>
      <c r="T32" s="24"/>
      <c r="U32" s="24"/>
      <c r="V32" s="24"/>
    </row>
    <row r="33" spans="3:23" x14ac:dyDescent="0.3">
      <c r="H33" s="1"/>
    </row>
    <row r="34" spans="3:23" x14ac:dyDescent="0.3">
      <c r="C34" s="4" t="s">
        <v>14</v>
      </c>
      <c r="D34" s="24" t="s">
        <v>45</v>
      </c>
      <c r="E34" s="24"/>
      <c r="F34" s="24"/>
      <c r="G34" s="24"/>
      <c r="H34" s="24"/>
      <c r="I34" s="24"/>
      <c r="J34" s="24"/>
      <c r="K34" s="24"/>
      <c r="L34" s="24"/>
      <c r="M34" s="24"/>
      <c r="N34" s="24"/>
      <c r="O34" s="24"/>
      <c r="P34" s="24"/>
      <c r="Q34" s="24"/>
      <c r="R34" s="24"/>
      <c r="S34" s="24"/>
      <c r="T34" s="24"/>
      <c r="U34" s="24"/>
      <c r="V34" s="24"/>
      <c r="W34" s="24"/>
    </row>
    <row r="35" spans="3:23" x14ac:dyDescent="0.3">
      <c r="H35" s="1"/>
    </row>
    <row r="36" spans="3:23" x14ac:dyDescent="0.3">
      <c r="C36" s="5" t="s">
        <v>15</v>
      </c>
      <c r="D36" s="24" t="s">
        <v>16</v>
      </c>
      <c r="E36" s="24"/>
      <c r="F36" s="24"/>
      <c r="G36" s="24"/>
      <c r="H36" s="24"/>
      <c r="I36" s="24"/>
      <c r="J36" s="24"/>
      <c r="K36" s="24"/>
      <c r="L36" s="24"/>
      <c r="M36" s="24"/>
      <c r="N36" s="24"/>
      <c r="O36" s="24"/>
      <c r="P36" s="24"/>
      <c r="Q36" s="24"/>
      <c r="R36" s="24"/>
      <c r="S36" s="24"/>
      <c r="T36" s="24"/>
      <c r="U36" s="24"/>
      <c r="V36" s="24"/>
    </row>
    <row r="37" spans="3:23" x14ac:dyDescent="0.3">
      <c r="H37" s="1"/>
    </row>
    <row r="38" spans="3:23" x14ac:dyDescent="0.3">
      <c r="C38" s="4" t="s">
        <v>14</v>
      </c>
      <c r="D38" s="10" t="s">
        <v>17</v>
      </c>
      <c r="E38" t="s">
        <v>18</v>
      </c>
      <c r="F38" t="s">
        <v>19</v>
      </c>
      <c r="H38" s="1"/>
    </row>
    <row r="39" spans="3:23" x14ac:dyDescent="0.3">
      <c r="D39" s="11" t="s">
        <v>10</v>
      </c>
      <c r="E39" s="13">
        <v>467</v>
      </c>
      <c r="F39" s="13">
        <v>97</v>
      </c>
    </row>
    <row r="40" spans="3:23" x14ac:dyDescent="0.3">
      <c r="D40" s="12" t="s">
        <v>6</v>
      </c>
      <c r="E40" s="13">
        <v>467</v>
      </c>
      <c r="F40" s="13">
        <v>97</v>
      </c>
    </row>
    <row r="41" spans="3:23" x14ac:dyDescent="0.3">
      <c r="D41" s="23" t="s">
        <v>20</v>
      </c>
      <c r="E41" s="13">
        <v>467</v>
      </c>
      <c r="F41" s="13">
        <v>97</v>
      </c>
    </row>
    <row r="42" spans="3:23" x14ac:dyDescent="0.3">
      <c r="D42" s="11" t="s">
        <v>11</v>
      </c>
      <c r="E42" s="13">
        <v>347</v>
      </c>
      <c r="F42" s="13">
        <v>35</v>
      </c>
    </row>
    <row r="43" spans="3:23" x14ac:dyDescent="0.3">
      <c r="D43" s="12" t="s">
        <v>43</v>
      </c>
      <c r="E43" s="13">
        <v>347</v>
      </c>
      <c r="F43" s="13">
        <v>35</v>
      </c>
    </row>
    <row r="44" spans="3:23" x14ac:dyDescent="0.3">
      <c r="D44" s="23" t="s">
        <v>21</v>
      </c>
      <c r="E44" s="13">
        <v>347</v>
      </c>
      <c r="F44" s="13">
        <v>35</v>
      </c>
    </row>
    <row r="45" spans="3:23" x14ac:dyDescent="0.3">
      <c r="D45" s="11" t="s">
        <v>7</v>
      </c>
      <c r="E45" s="13">
        <v>2518</v>
      </c>
      <c r="F45" s="13">
        <v>444</v>
      </c>
    </row>
    <row r="46" spans="3:23" x14ac:dyDescent="0.3">
      <c r="D46" s="12" t="s">
        <v>43</v>
      </c>
      <c r="E46" s="13">
        <v>1581</v>
      </c>
      <c r="F46" s="13">
        <v>201</v>
      </c>
    </row>
    <row r="47" spans="3:23" x14ac:dyDescent="0.3">
      <c r="D47" s="23" t="s">
        <v>23</v>
      </c>
      <c r="E47" s="13">
        <v>348</v>
      </c>
      <c r="F47" s="13">
        <v>56</v>
      </c>
    </row>
    <row r="48" spans="3:23" x14ac:dyDescent="0.3">
      <c r="D48" s="23" t="s">
        <v>22</v>
      </c>
      <c r="E48" s="13">
        <v>417</v>
      </c>
      <c r="F48" s="13">
        <v>29</v>
      </c>
    </row>
    <row r="49" spans="4:6" x14ac:dyDescent="0.3">
      <c r="D49" s="23" t="s">
        <v>25</v>
      </c>
      <c r="E49" s="13">
        <v>497</v>
      </c>
      <c r="F49" s="13">
        <v>71</v>
      </c>
    </row>
    <row r="50" spans="4:6" x14ac:dyDescent="0.3">
      <c r="D50" s="23" t="s">
        <v>21</v>
      </c>
      <c r="E50" s="13">
        <v>319</v>
      </c>
      <c r="F50" s="13">
        <v>45</v>
      </c>
    </row>
    <row r="51" spans="4:6" x14ac:dyDescent="0.3">
      <c r="D51" s="12" t="s">
        <v>6</v>
      </c>
      <c r="E51" s="13">
        <v>937</v>
      </c>
      <c r="F51" s="13">
        <v>243</v>
      </c>
    </row>
    <row r="52" spans="4:6" x14ac:dyDescent="0.3">
      <c r="D52" s="23" t="s">
        <v>23</v>
      </c>
      <c r="E52" s="13">
        <v>247</v>
      </c>
      <c r="F52" s="13">
        <v>76</v>
      </c>
    </row>
    <row r="53" spans="4:6" x14ac:dyDescent="0.3">
      <c r="D53" s="23" t="s">
        <v>24</v>
      </c>
      <c r="E53" s="13">
        <v>76</v>
      </c>
      <c r="F53" s="13">
        <v>63</v>
      </c>
    </row>
    <row r="54" spans="4:6" x14ac:dyDescent="0.3">
      <c r="D54" s="23" t="s">
        <v>20</v>
      </c>
      <c r="E54" s="13">
        <v>205</v>
      </c>
      <c r="F54" s="13">
        <v>23</v>
      </c>
    </row>
    <row r="55" spans="4:6" x14ac:dyDescent="0.3">
      <c r="D55" s="23" t="s">
        <v>25</v>
      </c>
      <c r="E55" s="13">
        <v>409</v>
      </c>
      <c r="F55" s="13">
        <v>81</v>
      </c>
    </row>
    <row r="56" spans="4:6" x14ac:dyDescent="0.3">
      <c r="D56" s="11" t="s">
        <v>5</v>
      </c>
      <c r="E56" s="13">
        <v>3497</v>
      </c>
      <c r="F56" s="13">
        <v>622</v>
      </c>
    </row>
    <row r="57" spans="4:6" x14ac:dyDescent="0.3">
      <c r="D57" s="12" t="s">
        <v>43</v>
      </c>
      <c r="E57" s="13">
        <v>2380</v>
      </c>
      <c r="F57" s="13">
        <v>387</v>
      </c>
    </row>
    <row r="58" spans="4:6" x14ac:dyDescent="0.3">
      <c r="D58" s="23" t="s">
        <v>23</v>
      </c>
      <c r="E58" s="13">
        <v>230</v>
      </c>
      <c r="F58" s="13">
        <v>37</v>
      </c>
    </row>
    <row r="59" spans="4:6" x14ac:dyDescent="0.3">
      <c r="D59" s="23" t="s">
        <v>22</v>
      </c>
      <c r="E59" s="13">
        <v>334</v>
      </c>
      <c r="F59" s="13">
        <v>52</v>
      </c>
    </row>
    <row r="60" spans="4:6" x14ac:dyDescent="0.3">
      <c r="D60" s="23" t="s">
        <v>24</v>
      </c>
      <c r="E60" s="13">
        <v>882</v>
      </c>
      <c r="F60" s="13">
        <v>123</v>
      </c>
    </row>
    <row r="61" spans="4:6" x14ac:dyDescent="0.3">
      <c r="D61" s="23" t="s">
        <v>20</v>
      </c>
      <c r="E61" s="13">
        <v>483</v>
      </c>
      <c r="F61" s="13">
        <v>97</v>
      </c>
    </row>
    <row r="62" spans="4:6" x14ac:dyDescent="0.3">
      <c r="D62" s="23" t="s">
        <v>21</v>
      </c>
      <c r="E62" s="13">
        <v>451</v>
      </c>
      <c r="F62" s="13">
        <v>78</v>
      </c>
    </row>
    <row r="63" spans="4:6" x14ac:dyDescent="0.3">
      <c r="D63" s="12" t="s">
        <v>6</v>
      </c>
      <c r="E63" s="13">
        <v>1117</v>
      </c>
      <c r="F63" s="13">
        <v>235</v>
      </c>
    </row>
    <row r="64" spans="4:6" x14ac:dyDescent="0.3">
      <c r="D64" s="23" t="s">
        <v>23</v>
      </c>
      <c r="E64" s="13">
        <v>456</v>
      </c>
      <c r="F64" s="13">
        <v>93</v>
      </c>
    </row>
    <row r="65" spans="3:21" x14ac:dyDescent="0.3">
      <c r="D65" s="23" t="s">
        <v>22</v>
      </c>
      <c r="E65" s="13">
        <v>281</v>
      </c>
      <c r="F65" s="13">
        <v>50</v>
      </c>
    </row>
    <row r="66" spans="3:21" x14ac:dyDescent="0.3">
      <c r="D66" s="23" t="s">
        <v>25</v>
      </c>
      <c r="E66" s="13">
        <v>380</v>
      </c>
      <c r="F66" s="13">
        <v>92</v>
      </c>
    </row>
    <row r="67" spans="3:21" x14ac:dyDescent="0.3">
      <c r="D67" s="11" t="s">
        <v>26</v>
      </c>
      <c r="E67" s="13">
        <v>6829</v>
      </c>
      <c r="F67" s="13">
        <v>1198</v>
      </c>
    </row>
    <row r="73" spans="3:21" x14ac:dyDescent="0.3">
      <c r="C73" s="5" t="s">
        <v>27</v>
      </c>
      <c r="D73" s="24" t="s">
        <v>28</v>
      </c>
      <c r="E73" s="24"/>
      <c r="F73" s="24"/>
      <c r="G73" s="24"/>
      <c r="H73" s="24"/>
      <c r="I73" s="24"/>
      <c r="J73" s="24"/>
      <c r="K73" s="24"/>
      <c r="L73" s="24"/>
      <c r="M73" s="24"/>
      <c r="N73" s="24"/>
      <c r="O73" s="24"/>
      <c r="P73" s="24"/>
      <c r="Q73" s="24"/>
      <c r="R73" s="24"/>
      <c r="S73" s="24"/>
      <c r="T73" s="24"/>
      <c r="U73" s="24"/>
    </row>
    <row r="75" spans="3:21" x14ac:dyDescent="0.3">
      <c r="C75" s="15" t="s">
        <v>14</v>
      </c>
      <c r="D75" s="6" t="s">
        <v>0</v>
      </c>
      <c r="E75" s="6" t="s">
        <v>1</v>
      </c>
      <c r="F75" s="6" t="s">
        <v>2</v>
      </c>
      <c r="G75" s="6" t="s">
        <v>3</v>
      </c>
      <c r="H75" s="6" t="s">
        <v>4</v>
      </c>
    </row>
    <row r="76" spans="3:21" x14ac:dyDescent="0.3">
      <c r="C76" s="1"/>
      <c r="D76" s="7">
        <v>45292</v>
      </c>
      <c r="E76" s="8" t="s">
        <v>5</v>
      </c>
      <c r="F76" s="8" t="s">
        <v>6</v>
      </c>
      <c r="G76" s="9">
        <v>456</v>
      </c>
      <c r="H76" s="9">
        <v>93</v>
      </c>
    </row>
    <row r="77" spans="3:21" x14ac:dyDescent="0.3">
      <c r="C77" s="1"/>
      <c r="D77" s="7">
        <v>45301.526319444441</v>
      </c>
      <c r="E77" s="8" t="s">
        <v>7</v>
      </c>
      <c r="F77" s="8" t="s">
        <v>8</v>
      </c>
      <c r="G77" s="9">
        <v>348</v>
      </c>
      <c r="H77" s="9">
        <v>56</v>
      </c>
    </row>
    <row r="78" spans="3:21" x14ac:dyDescent="0.3">
      <c r="C78" s="1"/>
      <c r="D78" s="7">
        <v>45311.052627314813</v>
      </c>
      <c r="E78" s="8" t="s">
        <v>7</v>
      </c>
      <c r="F78" s="8" t="s">
        <v>6</v>
      </c>
      <c r="G78" s="9">
        <v>247</v>
      </c>
      <c r="H78" s="9">
        <v>76</v>
      </c>
    </row>
    <row r="79" spans="3:21" x14ac:dyDescent="0.3">
      <c r="C79" s="1"/>
      <c r="D79" s="7">
        <v>45320.578946759262</v>
      </c>
      <c r="E79" s="8" t="s">
        <v>5</v>
      </c>
      <c r="F79" s="8" t="s">
        <v>9</v>
      </c>
      <c r="G79" s="9">
        <v>230</v>
      </c>
      <c r="H79" s="9">
        <v>37</v>
      </c>
    </row>
    <row r="80" spans="3:21" x14ac:dyDescent="0.3">
      <c r="C80" s="1"/>
      <c r="D80" s="7">
        <v>45330.105266203704</v>
      </c>
      <c r="E80" s="8" t="s">
        <v>5</v>
      </c>
      <c r="F80" s="8" t="s">
        <v>6</v>
      </c>
      <c r="G80" s="9">
        <v>281</v>
      </c>
      <c r="H80" s="9">
        <v>50</v>
      </c>
    </row>
    <row r="81" spans="3:8" x14ac:dyDescent="0.3">
      <c r="C81" s="1"/>
      <c r="D81" s="7">
        <v>45339.631574074076</v>
      </c>
      <c r="E81" s="8" t="s">
        <v>5</v>
      </c>
      <c r="F81" s="8" t="s">
        <v>8</v>
      </c>
      <c r="G81" s="9">
        <v>334</v>
      </c>
      <c r="H81" s="9">
        <v>52</v>
      </c>
    </row>
    <row r="82" spans="3:8" x14ac:dyDescent="0.3">
      <c r="C82" s="1"/>
      <c r="D82" s="7">
        <v>45349.157893518517</v>
      </c>
      <c r="E82" s="8" t="s">
        <v>7</v>
      </c>
      <c r="F82" s="8" t="s">
        <v>9</v>
      </c>
      <c r="G82" s="9">
        <v>417</v>
      </c>
      <c r="H82" s="9">
        <v>29</v>
      </c>
    </row>
    <row r="83" spans="3:8" x14ac:dyDescent="0.3">
      <c r="C83" s="1"/>
      <c r="D83" s="7">
        <v>45358.684212962966</v>
      </c>
      <c r="E83" s="8" t="s">
        <v>5</v>
      </c>
      <c r="F83" s="8" t="s">
        <v>9</v>
      </c>
      <c r="G83" s="9">
        <v>441</v>
      </c>
      <c r="H83" s="9">
        <v>44</v>
      </c>
    </row>
    <row r="84" spans="3:8" x14ac:dyDescent="0.3">
      <c r="C84" s="1"/>
      <c r="D84" s="7">
        <v>45368.210520833331</v>
      </c>
      <c r="E84" s="8" t="s">
        <v>7</v>
      </c>
      <c r="F84" s="8" t="s">
        <v>6</v>
      </c>
      <c r="G84" s="9">
        <v>76</v>
      </c>
      <c r="H84" s="9">
        <v>63</v>
      </c>
    </row>
    <row r="85" spans="3:8" x14ac:dyDescent="0.3">
      <c r="C85" s="1"/>
      <c r="D85" s="7">
        <v>45377.736840277779</v>
      </c>
      <c r="E85" s="8" t="s">
        <v>5</v>
      </c>
      <c r="F85" s="8" t="s">
        <v>8</v>
      </c>
      <c r="G85" s="9">
        <v>441</v>
      </c>
      <c r="H85" s="9">
        <v>79</v>
      </c>
    </row>
    <row r="86" spans="3:8" x14ac:dyDescent="0.3">
      <c r="C86" s="1"/>
      <c r="D86" s="7">
        <v>45387.263159722221</v>
      </c>
      <c r="E86" s="8" t="s">
        <v>7</v>
      </c>
      <c r="F86" s="8" t="s">
        <v>6</v>
      </c>
      <c r="G86" s="9">
        <v>205</v>
      </c>
      <c r="H86" s="9">
        <v>23</v>
      </c>
    </row>
    <row r="87" spans="3:8" x14ac:dyDescent="0.3">
      <c r="C87" s="1"/>
      <c r="D87" s="7">
        <v>45396.789479166669</v>
      </c>
      <c r="E87" s="8" t="s">
        <v>5</v>
      </c>
      <c r="F87" s="8" t="s">
        <v>8</v>
      </c>
      <c r="G87" s="9">
        <v>483</v>
      </c>
      <c r="H87" s="9">
        <v>97</v>
      </c>
    </row>
    <row r="88" spans="3:8" x14ac:dyDescent="0.3">
      <c r="C88" s="1"/>
      <c r="D88" s="7">
        <v>45406.315787037034</v>
      </c>
      <c r="E88" s="8" t="s">
        <v>10</v>
      </c>
      <c r="F88" s="8" t="s">
        <v>6</v>
      </c>
      <c r="G88" s="9">
        <v>467</v>
      </c>
      <c r="H88" s="9">
        <v>97</v>
      </c>
    </row>
    <row r="89" spans="3:8" x14ac:dyDescent="0.3">
      <c r="C89" s="1"/>
      <c r="D89" s="7">
        <v>45415.842106481483</v>
      </c>
      <c r="E89" s="8" t="s">
        <v>5</v>
      </c>
      <c r="F89" s="8" t="s">
        <v>6</v>
      </c>
      <c r="G89" s="9">
        <v>380</v>
      </c>
      <c r="H89" s="9">
        <v>92</v>
      </c>
    </row>
    <row r="90" spans="3:8" x14ac:dyDescent="0.3">
      <c r="C90" s="1"/>
      <c r="D90" s="7">
        <v>45425.368425925924</v>
      </c>
      <c r="E90" s="8" t="s">
        <v>7</v>
      </c>
      <c r="F90" s="8" t="s">
        <v>8</v>
      </c>
      <c r="G90" s="9">
        <v>497</v>
      </c>
      <c r="H90" s="9">
        <v>71</v>
      </c>
    </row>
    <row r="91" spans="3:8" x14ac:dyDescent="0.3">
      <c r="C91" s="1"/>
      <c r="D91" s="7">
        <v>45434.894733796296</v>
      </c>
      <c r="E91" s="8" t="s">
        <v>7</v>
      </c>
      <c r="F91" s="8" t="s">
        <v>6</v>
      </c>
      <c r="G91" s="9">
        <v>409</v>
      </c>
      <c r="H91" s="9">
        <v>81</v>
      </c>
    </row>
    <row r="92" spans="3:8" x14ac:dyDescent="0.3">
      <c r="C92" s="1"/>
      <c r="D92" s="7">
        <v>45444.421053240738</v>
      </c>
      <c r="E92" s="8" t="s">
        <v>5</v>
      </c>
      <c r="F92" s="8" t="s">
        <v>8</v>
      </c>
      <c r="G92" s="9">
        <v>53</v>
      </c>
      <c r="H92" s="9">
        <v>45</v>
      </c>
    </row>
    <row r="93" spans="3:8" x14ac:dyDescent="0.3">
      <c r="C93" s="1"/>
      <c r="D93" s="7">
        <v>45453.947372685187</v>
      </c>
      <c r="E93" s="8" t="s">
        <v>5</v>
      </c>
      <c r="F93" s="8" t="s">
        <v>9</v>
      </c>
      <c r="G93" s="9">
        <v>398</v>
      </c>
      <c r="H93" s="9">
        <v>33</v>
      </c>
    </row>
    <row r="94" spans="3:8" x14ac:dyDescent="0.3">
      <c r="C94" s="1"/>
      <c r="D94" s="7">
        <v>45463.473680555559</v>
      </c>
      <c r="E94" s="8" t="s">
        <v>11</v>
      </c>
      <c r="F94" s="8" t="s">
        <v>8</v>
      </c>
      <c r="G94" s="9">
        <v>347</v>
      </c>
      <c r="H94" s="9">
        <v>35</v>
      </c>
    </row>
    <row r="95" spans="3:8" x14ac:dyDescent="0.3">
      <c r="D95" s="7">
        <v>45473</v>
      </c>
      <c r="E95" s="8" t="s">
        <v>7</v>
      </c>
      <c r="F95" s="8" t="s">
        <v>9</v>
      </c>
      <c r="G95" s="9">
        <v>319</v>
      </c>
      <c r="H95" s="9">
        <v>45</v>
      </c>
    </row>
    <row r="97" spans="2:20" x14ac:dyDescent="0.3">
      <c r="C97" s="5" t="s">
        <v>29</v>
      </c>
      <c r="D97" s="24" t="s">
        <v>30</v>
      </c>
      <c r="E97" s="24"/>
      <c r="F97" s="24"/>
      <c r="G97" s="24"/>
      <c r="H97" s="24"/>
      <c r="I97" s="24"/>
      <c r="J97" s="24"/>
      <c r="K97" s="24"/>
      <c r="L97" s="24"/>
      <c r="M97" s="24"/>
      <c r="N97" s="24"/>
      <c r="O97" s="24"/>
      <c r="P97" s="24"/>
      <c r="Q97" s="24"/>
      <c r="R97" s="24"/>
      <c r="S97" s="24"/>
      <c r="T97" s="24"/>
    </row>
    <row r="99" spans="2:20" x14ac:dyDescent="0.3">
      <c r="C99" s="4" t="s">
        <v>14</v>
      </c>
      <c r="D99" s="25" t="s">
        <v>31</v>
      </c>
      <c r="E99" s="25"/>
      <c r="F99" s="25"/>
      <c r="G99" s="25"/>
      <c r="M99" s="26" t="s">
        <v>32</v>
      </c>
      <c r="N99" s="26"/>
      <c r="O99" s="26"/>
      <c r="P99" s="26"/>
      <c r="Q99" s="26"/>
      <c r="R99" s="26"/>
    </row>
    <row r="100" spans="2:20" x14ac:dyDescent="0.3">
      <c r="D100" s="25"/>
      <c r="E100" s="25"/>
      <c r="F100" s="25"/>
      <c r="G100" s="25"/>
      <c r="M100" s="26"/>
      <c r="N100" s="26"/>
      <c r="O100" s="26"/>
      <c r="P100" s="26"/>
      <c r="Q100" s="26"/>
      <c r="R100" s="26"/>
    </row>
    <row r="101" spans="2:20" x14ac:dyDescent="0.3">
      <c r="D101" s="25"/>
      <c r="E101" s="25"/>
      <c r="F101" s="25"/>
      <c r="G101" s="25"/>
      <c r="M101" s="26"/>
      <c r="N101" s="26"/>
      <c r="O101" s="26"/>
      <c r="P101" s="26"/>
      <c r="Q101" s="26"/>
      <c r="R101" s="26"/>
    </row>
    <row r="102" spans="2:20" x14ac:dyDescent="0.3">
      <c r="B102" s="1"/>
      <c r="I102" s="1"/>
    </row>
    <row r="103" spans="2:20" x14ac:dyDescent="0.3">
      <c r="B103" s="1"/>
      <c r="D103" s="6" t="s">
        <v>0</v>
      </c>
      <c r="E103" s="6" t="s">
        <v>1</v>
      </c>
      <c r="F103" s="6" t="s">
        <v>2</v>
      </c>
      <c r="G103" s="6" t="s">
        <v>3</v>
      </c>
      <c r="H103" s="6" t="s">
        <v>4</v>
      </c>
      <c r="I103" s="1"/>
      <c r="M103" s="6" t="s">
        <v>0</v>
      </c>
      <c r="N103" s="6" t="s">
        <v>1</v>
      </c>
      <c r="O103" s="6" t="s">
        <v>2</v>
      </c>
      <c r="P103" s="6" t="s">
        <v>3</v>
      </c>
      <c r="Q103" s="6" t="s">
        <v>4</v>
      </c>
    </row>
    <row r="104" spans="2:20" hidden="1" x14ac:dyDescent="0.3">
      <c r="B104" s="1"/>
      <c r="D104" s="7">
        <v>45292</v>
      </c>
      <c r="E104" s="8" t="s">
        <v>5</v>
      </c>
      <c r="F104" s="8" t="s">
        <v>6</v>
      </c>
      <c r="G104" s="9">
        <v>53</v>
      </c>
      <c r="H104" s="9">
        <v>93</v>
      </c>
      <c r="I104" s="1"/>
      <c r="M104" s="7">
        <v>45292</v>
      </c>
      <c r="N104" s="8" t="s">
        <v>5</v>
      </c>
      <c r="O104" s="8" t="s">
        <v>6</v>
      </c>
      <c r="P104" s="9">
        <v>456</v>
      </c>
      <c r="Q104" s="9">
        <v>93</v>
      </c>
    </row>
    <row r="105" spans="2:20" x14ac:dyDescent="0.3">
      <c r="B105" s="1"/>
      <c r="D105" s="7">
        <v>45301.526319444441</v>
      </c>
      <c r="E105" s="8" t="s">
        <v>7</v>
      </c>
      <c r="F105" s="8" t="s">
        <v>8</v>
      </c>
      <c r="G105" s="9">
        <v>76</v>
      </c>
      <c r="H105" s="9">
        <v>56</v>
      </c>
      <c r="I105" s="1"/>
      <c r="M105" s="7">
        <v>45301.526319444441</v>
      </c>
      <c r="N105" s="8" t="s">
        <v>7</v>
      </c>
      <c r="O105" s="8" t="s">
        <v>8</v>
      </c>
      <c r="P105" s="9">
        <v>348</v>
      </c>
      <c r="Q105" s="9">
        <v>56</v>
      </c>
    </row>
    <row r="106" spans="2:20" x14ac:dyDescent="0.3">
      <c r="B106" s="1"/>
      <c r="D106" s="7">
        <v>45311.052627314813</v>
      </c>
      <c r="E106" s="8" t="s">
        <v>7</v>
      </c>
      <c r="F106" s="8" t="s">
        <v>6</v>
      </c>
      <c r="G106" s="9">
        <v>205</v>
      </c>
      <c r="H106" s="9">
        <v>76</v>
      </c>
      <c r="I106" s="1"/>
      <c r="M106" s="7">
        <v>45311.052627314813</v>
      </c>
      <c r="N106" s="8" t="s">
        <v>7</v>
      </c>
      <c r="O106" s="8" t="s">
        <v>6</v>
      </c>
      <c r="P106" s="9">
        <v>247</v>
      </c>
      <c r="Q106" s="9">
        <v>76</v>
      </c>
    </row>
    <row r="107" spans="2:20" hidden="1" x14ac:dyDescent="0.3">
      <c r="B107" s="1"/>
      <c r="D107" s="7">
        <v>45320.578946759262</v>
      </c>
      <c r="E107" s="8" t="s">
        <v>5</v>
      </c>
      <c r="F107" s="8" t="s">
        <v>9</v>
      </c>
      <c r="G107" s="9">
        <v>230</v>
      </c>
      <c r="H107" s="9">
        <v>37</v>
      </c>
      <c r="I107" s="1"/>
      <c r="M107" s="7">
        <v>45320.578946759262</v>
      </c>
      <c r="N107" s="8" t="s">
        <v>5</v>
      </c>
      <c r="O107" s="8" t="s">
        <v>9</v>
      </c>
      <c r="P107" s="9">
        <v>230</v>
      </c>
      <c r="Q107" s="9">
        <v>37</v>
      </c>
    </row>
    <row r="108" spans="2:20" hidden="1" x14ac:dyDescent="0.3">
      <c r="B108" s="1"/>
      <c r="D108" s="7">
        <v>45330.105266203704</v>
      </c>
      <c r="E108" s="8" t="s">
        <v>5</v>
      </c>
      <c r="F108" s="8" t="s">
        <v>6</v>
      </c>
      <c r="G108" s="9">
        <v>247</v>
      </c>
      <c r="H108" s="9">
        <v>50</v>
      </c>
      <c r="I108" s="1"/>
      <c r="M108" s="7">
        <v>45330.105266203704</v>
      </c>
      <c r="N108" s="8" t="s">
        <v>5</v>
      </c>
      <c r="O108" s="8" t="s">
        <v>6</v>
      </c>
      <c r="P108" s="9">
        <v>281</v>
      </c>
      <c r="Q108" s="9">
        <v>50</v>
      </c>
    </row>
    <row r="109" spans="2:20" hidden="1" x14ac:dyDescent="0.3">
      <c r="B109" s="1"/>
      <c r="D109" s="7">
        <v>45339.631574074076</v>
      </c>
      <c r="E109" s="8" t="s">
        <v>5</v>
      </c>
      <c r="F109" s="8" t="s">
        <v>8</v>
      </c>
      <c r="G109" s="9">
        <v>281</v>
      </c>
      <c r="H109" s="9">
        <v>52</v>
      </c>
      <c r="I109" s="1"/>
      <c r="M109" s="7">
        <v>45339.631574074076</v>
      </c>
      <c r="N109" s="8" t="s">
        <v>5</v>
      </c>
      <c r="O109" s="8" t="s">
        <v>8</v>
      </c>
      <c r="P109" s="9">
        <v>334</v>
      </c>
      <c r="Q109" s="9">
        <v>52</v>
      </c>
    </row>
    <row r="110" spans="2:20" x14ac:dyDescent="0.3">
      <c r="B110" s="1"/>
      <c r="D110" s="7">
        <v>45349.157893518517</v>
      </c>
      <c r="E110" s="8" t="s">
        <v>7</v>
      </c>
      <c r="F110" s="8" t="s">
        <v>9</v>
      </c>
      <c r="G110" s="9">
        <v>319</v>
      </c>
      <c r="H110" s="9">
        <v>29</v>
      </c>
      <c r="I110" s="1"/>
      <c r="M110" s="7">
        <v>45349.157893518517</v>
      </c>
      <c r="N110" s="8" t="s">
        <v>7</v>
      </c>
      <c r="O110" s="8" t="s">
        <v>9</v>
      </c>
      <c r="P110" s="9">
        <v>417</v>
      </c>
      <c r="Q110" s="9">
        <v>29</v>
      </c>
    </row>
    <row r="111" spans="2:20" hidden="1" x14ac:dyDescent="0.3">
      <c r="B111" s="1"/>
      <c r="D111" s="7">
        <v>45358.684212962966</v>
      </c>
      <c r="E111" s="8" t="s">
        <v>5</v>
      </c>
      <c r="F111" s="8" t="s">
        <v>9</v>
      </c>
      <c r="G111" s="9">
        <v>334</v>
      </c>
      <c r="H111" s="9">
        <v>44</v>
      </c>
      <c r="I111" s="1"/>
      <c r="M111" s="7">
        <v>45358.684212962966</v>
      </c>
      <c r="N111" s="8" t="s">
        <v>5</v>
      </c>
      <c r="O111" s="8" t="s">
        <v>9</v>
      </c>
      <c r="P111" s="9">
        <v>441</v>
      </c>
      <c r="Q111" s="9">
        <v>44</v>
      </c>
    </row>
    <row r="112" spans="2:20" x14ac:dyDescent="0.3">
      <c r="B112" s="1"/>
      <c r="D112" s="7">
        <v>45368.210520833331</v>
      </c>
      <c r="E112" s="8" t="s">
        <v>7</v>
      </c>
      <c r="F112" s="8" t="s">
        <v>6</v>
      </c>
      <c r="G112" s="9">
        <v>347</v>
      </c>
      <c r="H112" s="9">
        <v>63</v>
      </c>
      <c r="I112" s="1"/>
      <c r="M112" s="7">
        <v>45368.210520833331</v>
      </c>
      <c r="N112" s="8" t="s">
        <v>7</v>
      </c>
      <c r="O112" s="8" t="s">
        <v>6</v>
      </c>
      <c r="P112" s="9">
        <v>76</v>
      </c>
      <c r="Q112" s="9">
        <v>63</v>
      </c>
    </row>
    <row r="113" spans="2:20" hidden="1" x14ac:dyDescent="0.3">
      <c r="B113" s="1"/>
      <c r="D113" s="7">
        <v>45377.736840277779</v>
      </c>
      <c r="E113" s="8" t="s">
        <v>5</v>
      </c>
      <c r="F113" s="8" t="s">
        <v>8</v>
      </c>
      <c r="G113" s="9">
        <v>348</v>
      </c>
      <c r="H113" s="9">
        <v>79</v>
      </c>
      <c r="I113" s="1"/>
      <c r="M113" s="7">
        <v>45377.736840277779</v>
      </c>
      <c r="N113" s="8" t="s">
        <v>5</v>
      </c>
      <c r="O113" s="8" t="s">
        <v>8</v>
      </c>
      <c r="P113" s="9">
        <v>441</v>
      </c>
      <c r="Q113" s="9">
        <v>79</v>
      </c>
    </row>
    <row r="114" spans="2:20" x14ac:dyDescent="0.3">
      <c r="B114" s="1"/>
      <c r="D114" s="7">
        <v>45387.263159722221</v>
      </c>
      <c r="E114" s="8" t="s">
        <v>7</v>
      </c>
      <c r="F114" s="8" t="s">
        <v>6</v>
      </c>
      <c r="G114" s="9">
        <v>380</v>
      </c>
      <c r="H114" s="9">
        <v>23</v>
      </c>
      <c r="I114" s="1"/>
      <c r="M114" s="7">
        <v>45387.263159722221</v>
      </c>
      <c r="N114" s="8" t="s">
        <v>7</v>
      </c>
      <c r="O114" s="8" t="s">
        <v>6</v>
      </c>
      <c r="P114" s="9">
        <v>205</v>
      </c>
      <c r="Q114" s="9">
        <v>23</v>
      </c>
    </row>
    <row r="115" spans="2:20" hidden="1" x14ac:dyDescent="0.3">
      <c r="B115" s="1"/>
      <c r="D115" s="7">
        <v>45396.789479166669</v>
      </c>
      <c r="E115" s="8" t="s">
        <v>5</v>
      </c>
      <c r="F115" s="8" t="s">
        <v>8</v>
      </c>
      <c r="G115" s="9">
        <v>398</v>
      </c>
      <c r="H115" s="9">
        <v>97</v>
      </c>
      <c r="I115" s="1"/>
      <c r="M115" s="7">
        <v>45396.789479166669</v>
      </c>
      <c r="N115" s="8" t="s">
        <v>5</v>
      </c>
      <c r="O115" s="8" t="s">
        <v>8</v>
      </c>
      <c r="P115" s="9">
        <v>483</v>
      </c>
      <c r="Q115" s="9">
        <v>97</v>
      </c>
    </row>
    <row r="116" spans="2:20" hidden="1" x14ac:dyDescent="0.3">
      <c r="B116" s="1"/>
      <c r="D116" s="7">
        <v>45406.315787037034</v>
      </c>
      <c r="E116" s="8" t="s">
        <v>10</v>
      </c>
      <c r="F116" s="8" t="s">
        <v>6</v>
      </c>
      <c r="G116" s="9">
        <v>409</v>
      </c>
      <c r="H116" s="9">
        <v>97</v>
      </c>
      <c r="I116" s="1"/>
      <c r="M116" s="7">
        <v>45406.315787037034</v>
      </c>
      <c r="N116" s="8" t="s">
        <v>10</v>
      </c>
      <c r="O116" s="8" t="s">
        <v>6</v>
      </c>
      <c r="P116" s="9">
        <v>467</v>
      </c>
      <c r="Q116" s="9">
        <v>97</v>
      </c>
    </row>
    <row r="117" spans="2:20" hidden="1" x14ac:dyDescent="0.3">
      <c r="B117" s="1"/>
      <c r="D117" s="7">
        <v>45415.842106481483</v>
      </c>
      <c r="E117" s="8" t="s">
        <v>5</v>
      </c>
      <c r="F117" s="8" t="s">
        <v>6</v>
      </c>
      <c r="G117" s="9">
        <v>417</v>
      </c>
      <c r="H117" s="9">
        <v>92</v>
      </c>
      <c r="I117" s="1"/>
      <c r="M117" s="7">
        <v>45415.842106481483</v>
      </c>
      <c r="N117" s="8" t="s">
        <v>5</v>
      </c>
      <c r="O117" s="8" t="s">
        <v>6</v>
      </c>
      <c r="P117" s="9">
        <v>380</v>
      </c>
      <c r="Q117" s="9">
        <v>92</v>
      </c>
    </row>
    <row r="118" spans="2:20" x14ac:dyDescent="0.3">
      <c r="B118" s="1"/>
      <c r="D118" s="7">
        <v>45425.368425925924</v>
      </c>
      <c r="E118" s="8" t="s">
        <v>7</v>
      </c>
      <c r="F118" s="8" t="s">
        <v>8</v>
      </c>
      <c r="G118" s="9">
        <v>441</v>
      </c>
      <c r="H118" s="9">
        <v>71</v>
      </c>
      <c r="I118" s="1"/>
      <c r="M118" s="7">
        <v>45425.368425925924</v>
      </c>
      <c r="N118" s="8" t="s">
        <v>7</v>
      </c>
      <c r="O118" s="8" t="s">
        <v>8</v>
      </c>
      <c r="P118" s="9">
        <v>497</v>
      </c>
      <c r="Q118" s="9">
        <v>71</v>
      </c>
    </row>
    <row r="119" spans="2:20" x14ac:dyDescent="0.3">
      <c r="B119" s="1"/>
      <c r="D119" s="7">
        <v>45434.894733796296</v>
      </c>
      <c r="E119" s="8" t="s">
        <v>7</v>
      </c>
      <c r="F119" s="8" t="s">
        <v>6</v>
      </c>
      <c r="G119" s="9">
        <v>441</v>
      </c>
      <c r="H119" s="9">
        <v>81</v>
      </c>
      <c r="I119" s="1"/>
      <c r="M119" s="7">
        <v>45434.894733796296</v>
      </c>
      <c r="N119" s="8" t="s">
        <v>7</v>
      </c>
      <c r="O119" s="8" t="s">
        <v>6</v>
      </c>
      <c r="P119" s="9">
        <v>409</v>
      </c>
      <c r="Q119" s="9">
        <v>81</v>
      </c>
    </row>
    <row r="120" spans="2:20" hidden="1" x14ac:dyDescent="0.3">
      <c r="B120" s="1"/>
      <c r="D120" s="7">
        <v>45444.421053240738</v>
      </c>
      <c r="E120" s="8" t="s">
        <v>5</v>
      </c>
      <c r="F120" s="8" t="s">
        <v>8</v>
      </c>
      <c r="G120" s="9">
        <v>456</v>
      </c>
      <c r="H120" s="9">
        <v>45</v>
      </c>
      <c r="I120" s="1"/>
      <c r="M120" s="7">
        <v>45444.421053240738</v>
      </c>
      <c r="N120" s="8" t="s">
        <v>5</v>
      </c>
      <c r="O120" s="8" t="s">
        <v>8</v>
      </c>
      <c r="P120" s="9">
        <v>53</v>
      </c>
      <c r="Q120" s="9">
        <v>45</v>
      </c>
    </row>
    <row r="121" spans="2:20" hidden="1" x14ac:dyDescent="0.3">
      <c r="B121" s="1"/>
      <c r="D121" s="7">
        <v>45453.947372685187</v>
      </c>
      <c r="E121" s="8" t="s">
        <v>5</v>
      </c>
      <c r="F121" s="8" t="s">
        <v>9</v>
      </c>
      <c r="G121" s="9">
        <v>467</v>
      </c>
      <c r="H121" s="9">
        <v>33</v>
      </c>
      <c r="I121" s="1"/>
      <c r="M121" s="7">
        <v>45453.947372685187</v>
      </c>
      <c r="N121" s="8" t="s">
        <v>5</v>
      </c>
      <c r="O121" s="8" t="s">
        <v>9</v>
      </c>
      <c r="P121" s="9">
        <v>398</v>
      </c>
      <c r="Q121" s="9">
        <v>33</v>
      </c>
    </row>
    <row r="122" spans="2:20" x14ac:dyDescent="0.3">
      <c r="D122" s="7">
        <v>45463.473680555559</v>
      </c>
      <c r="E122" s="8" t="s">
        <v>11</v>
      </c>
      <c r="F122" s="8" t="s">
        <v>8</v>
      </c>
      <c r="G122" s="9">
        <v>483</v>
      </c>
      <c r="H122" s="9">
        <v>35</v>
      </c>
      <c r="M122" s="7">
        <v>45463.473680555559</v>
      </c>
      <c r="N122" s="8" t="s">
        <v>11</v>
      </c>
      <c r="O122" s="8" t="s">
        <v>8</v>
      </c>
      <c r="P122" s="9">
        <v>347</v>
      </c>
      <c r="Q122" s="9">
        <v>35</v>
      </c>
    </row>
    <row r="123" spans="2:20" x14ac:dyDescent="0.3">
      <c r="D123" s="7">
        <v>45473</v>
      </c>
      <c r="E123" s="8" t="s">
        <v>7</v>
      </c>
      <c r="F123" s="8" t="s">
        <v>9</v>
      </c>
      <c r="G123" s="9">
        <v>497</v>
      </c>
      <c r="H123" s="9">
        <v>45</v>
      </c>
      <c r="M123" s="7">
        <v>45473</v>
      </c>
      <c r="N123" s="8" t="s">
        <v>7</v>
      </c>
      <c r="O123" s="8" t="s">
        <v>9</v>
      </c>
      <c r="P123" s="9">
        <v>319</v>
      </c>
      <c r="Q123" s="9">
        <v>45</v>
      </c>
    </row>
    <row r="125" spans="2:20" x14ac:dyDescent="0.3">
      <c r="C125" s="27" t="s">
        <v>46</v>
      </c>
      <c r="D125" s="27"/>
      <c r="E125" s="27"/>
      <c r="F125" s="27"/>
      <c r="G125" s="27"/>
      <c r="H125" s="27"/>
      <c r="I125" s="27"/>
      <c r="J125" s="27"/>
      <c r="L125" s="28" t="s">
        <v>47</v>
      </c>
      <c r="M125" s="28"/>
      <c r="N125" s="28"/>
      <c r="O125" s="28"/>
      <c r="P125" s="28"/>
      <c r="Q125" s="28"/>
      <c r="R125" s="28"/>
      <c r="S125" s="28"/>
      <c r="T125" s="28"/>
    </row>
    <row r="126" spans="2:20" x14ac:dyDescent="0.3">
      <c r="C126" s="27"/>
      <c r="D126" s="27"/>
      <c r="E126" s="27"/>
      <c r="F126" s="27"/>
      <c r="G126" s="27"/>
      <c r="H126" s="27"/>
      <c r="I126" s="27"/>
      <c r="J126" s="27"/>
      <c r="L126" s="28"/>
      <c r="M126" s="28"/>
      <c r="N126" s="28"/>
      <c r="O126" s="28"/>
      <c r="P126" s="28"/>
      <c r="Q126" s="28"/>
      <c r="R126" s="28"/>
      <c r="S126" s="28"/>
      <c r="T126" s="28"/>
    </row>
    <row r="127" spans="2:20" x14ac:dyDescent="0.3">
      <c r="C127" s="27"/>
      <c r="D127" s="27"/>
      <c r="E127" s="27"/>
      <c r="F127" s="27"/>
      <c r="G127" s="27"/>
      <c r="H127" s="27"/>
      <c r="I127" s="27"/>
      <c r="J127" s="27"/>
      <c r="L127" s="28"/>
      <c r="M127" s="28"/>
      <c r="N127" s="28"/>
      <c r="O127" s="28"/>
      <c r="P127" s="28"/>
      <c r="Q127" s="28"/>
      <c r="R127" s="28"/>
      <c r="S127" s="28"/>
      <c r="T127" s="28"/>
    </row>
    <row r="129" spans="2:21" x14ac:dyDescent="0.3">
      <c r="B129" s="29" t="s">
        <v>48</v>
      </c>
      <c r="C129" s="29"/>
      <c r="D129" s="29"/>
      <c r="E129" s="29"/>
      <c r="F129" s="29"/>
      <c r="G129" s="29"/>
      <c r="H129" s="29"/>
      <c r="I129" s="29"/>
      <c r="J129" s="29"/>
      <c r="K129" s="29"/>
      <c r="L129" s="29"/>
      <c r="M129" s="29"/>
      <c r="N129" s="29"/>
      <c r="O129" s="29"/>
      <c r="P129" s="29"/>
      <c r="Q129" s="29"/>
      <c r="R129" s="29"/>
      <c r="S129" s="29"/>
      <c r="T129" s="29"/>
      <c r="U129" s="29"/>
    </row>
    <row r="130" spans="2:21" x14ac:dyDescent="0.3">
      <c r="B130" s="29"/>
      <c r="C130" s="29"/>
      <c r="D130" s="29"/>
      <c r="E130" s="29"/>
      <c r="F130" s="29"/>
      <c r="G130" s="29"/>
      <c r="H130" s="29"/>
      <c r="I130" s="29"/>
      <c r="J130" s="29"/>
      <c r="K130" s="29"/>
      <c r="L130" s="29"/>
      <c r="M130" s="29"/>
      <c r="N130" s="29"/>
      <c r="O130" s="29"/>
      <c r="P130" s="29"/>
      <c r="Q130" s="29"/>
      <c r="R130" s="29"/>
      <c r="S130" s="29"/>
      <c r="T130" s="29"/>
      <c r="U130" s="29"/>
    </row>
    <row r="131" spans="2:21" x14ac:dyDescent="0.3">
      <c r="B131" s="29"/>
      <c r="C131" s="29"/>
      <c r="D131" s="29"/>
      <c r="E131" s="29"/>
      <c r="F131" s="29"/>
      <c r="G131" s="29"/>
      <c r="H131" s="29"/>
      <c r="I131" s="29"/>
      <c r="J131" s="29"/>
      <c r="K131" s="29"/>
      <c r="L131" s="29"/>
      <c r="M131" s="29"/>
      <c r="N131" s="29"/>
      <c r="O131" s="29"/>
      <c r="P131" s="29"/>
      <c r="Q131" s="29"/>
      <c r="R131" s="29"/>
      <c r="S131" s="29"/>
      <c r="T131" s="29"/>
      <c r="U131" s="29"/>
    </row>
    <row r="133" spans="2:21" x14ac:dyDescent="0.3">
      <c r="C133" s="5" t="s">
        <v>33</v>
      </c>
      <c r="D133" s="24" t="s">
        <v>49</v>
      </c>
      <c r="E133" s="24"/>
      <c r="F133" s="24"/>
      <c r="G133" s="24"/>
      <c r="H133" s="24"/>
      <c r="I133" s="24"/>
      <c r="J133" s="24"/>
      <c r="K133" s="24"/>
      <c r="L133" s="24"/>
      <c r="M133" s="24"/>
      <c r="N133" s="24"/>
      <c r="O133" s="24"/>
      <c r="P133" s="24"/>
      <c r="Q133" s="24"/>
      <c r="R133" s="24"/>
      <c r="S133" s="24"/>
      <c r="T133" s="24"/>
    </row>
    <row r="135" spans="2:21" x14ac:dyDescent="0.3">
      <c r="C135" s="4" t="s">
        <v>14</v>
      </c>
    </row>
    <row r="153" spans="3:16" x14ac:dyDescent="0.3">
      <c r="C153" s="5" t="s">
        <v>34</v>
      </c>
      <c r="D153" s="31" t="s">
        <v>50</v>
      </c>
      <c r="E153" s="24"/>
      <c r="F153" s="24"/>
      <c r="G153" s="24"/>
      <c r="H153" s="24"/>
      <c r="I153" s="24"/>
      <c r="J153" s="24"/>
      <c r="K153" s="24"/>
      <c r="L153" s="24"/>
      <c r="M153" s="24"/>
      <c r="N153" s="24"/>
      <c r="O153" s="24"/>
      <c r="P153" s="24"/>
    </row>
    <row r="155" spans="3:16" x14ac:dyDescent="0.3">
      <c r="C155" s="4" t="s">
        <v>14</v>
      </c>
    </row>
    <row r="165" spans="3:27" x14ac:dyDescent="0.3">
      <c r="C165" s="5" t="s">
        <v>35</v>
      </c>
      <c r="D165" s="24" t="s">
        <v>36</v>
      </c>
      <c r="E165" s="24"/>
      <c r="F165" s="24"/>
      <c r="G165" s="24"/>
      <c r="H165" s="24"/>
      <c r="I165" s="24"/>
      <c r="J165" s="24"/>
      <c r="K165" s="24"/>
      <c r="L165" s="24"/>
      <c r="M165" s="24"/>
      <c r="N165" s="24"/>
      <c r="O165" s="24"/>
      <c r="P165" s="24"/>
      <c r="Q165" s="24"/>
      <c r="R165" s="24"/>
      <c r="S165" s="24"/>
      <c r="T165" s="24"/>
      <c r="U165" s="24"/>
    </row>
    <row r="167" spans="3:27" x14ac:dyDescent="0.3">
      <c r="C167" s="4" t="s">
        <v>14</v>
      </c>
      <c r="D167" s="17" t="s">
        <v>51</v>
      </c>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3:27" x14ac:dyDescent="0.3">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3:27" x14ac:dyDescent="0.3">
      <c r="C169" s="5" t="s">
        <v>37</v>
      </c>
      <c r="D169" s="31" t="s">
        <v>38</v>
      </c>
      <c r="E169" s="24"/>
      <c r="F169" s="24"/>
      <c r="G169" s="24"/>
      <c r="H169" s="24"/>
      <c r="I169" s="24"/>
      <c r="J169" s="24"/>
      <c r="K169" s="24"/>
      <c r="L169" s="24"/>
      <c r="M169" s="24"/>
      <c r="N169" s="24"/>
      <c r="O169" s="24"/>
      <c r="P169" s="24"/>
      <c r="Q169" s="24"/>
      <c r="R169" s="24"/>
    </row>
    <row r="170" spans="3:27" x14ac:dyDescent="0.3">
      <c r="D170" s="24"/>
      <c r="E170" s="24"/>
      <c r="F170" s="24"/>
      <c r="G170" s="24"/>
      <c r="H170" s="24"/>
      <c r="I170" s="24"/>
      <c r="J170" s="24"/>
      <c r="K170" s="24"/>
      <c r="L170" s="24"/>
      <c r="M170" s="24"/>
      <c r="N170" s="24"/>
      <c r="O170" s="24"/>
      <c r="P170" s="24"/>
      <c r="Q170" s="24"/>
      <c r="R170" s="24"/>
    </row>
    <row r="171" spans="3:27" x14ac:dyDescent="0.3">
      <c r="C171" s="2"/>
      <c r="D171" s="24"/>
      <c r="E171" s="24"/>
      <c r="F171" s="24"/>
      <c r="G171" s="24"/>
      <c r="H171" s="24"/>
      <c r="I171" s="24"/>
      <c r="J171" s="24"/>
      <c r="K171" s="24"/>
      <c r="L171" s="24"/>
      <c r="M171" s="24"/>
      <c r="N171" s="24"/>
      <c r="O171" s="24"/>
      <c r="P171" s="24"/>
      <c r="Q171" s="24"/>
      <c r="R171" s="24"/>
    </row>
    <row r="172" spans="3:27" x14ac:dyDescent="0.3">
      <c r="D172" s="24"/>
      <c r="E172" s="24"/>
      <c r="F172" s="24"/>
      <c r="G172" s="24"/>
      <c r="H172" s="24"/>
      <c r="I172" s="24"/>
      <c r="J172" s="24"/>
      <c r="K172" s="24"/>
      <c r="L172" s="24"/>
      <c r="M172" s="24"/>
      <c r="N172" s="24"/>
      <c r="O172" s="24"/>
      <c r="P172" s="24"/>
      <c r="Q172" s="24"/>
      <c r="R172" s="24"/>
    </row>
    <row r="173" spans="3:27" x14ac:dyDescent="0.3">
      <c r="D173" s="24"/>
      <c r="E173" s="24"/>
      <c r="F173" s="24"/>
      <c r="G173" s="24"/>
      <c r="H173" s="24"/>
      <c r="I173" s="24"/>
      <c r="J173" s="24"/>
      <c r="K173" s="24"/>
      <c r="L173" s="24"/>
      <c r="M173" s="24"/>
      <c r="N173" s="24"/>
      <c r="O173" s="24"/>
      <c r="P173" s="24"/>
      <c r="Q173" s="24"/>
      <c r="R173" s="24"/>
    </row>
    <row r="174" spans="3:27" x14ac:dyDescent="0.3">
      <c r="C174" s="4" t="s">
        <v>14</v>
      </c>
      <c r="D174" s="18" t="s">
        <v>17</v>
      </c>
      <c r="E174" s="18" t="s">
        <v>18</v>
      </c>
      <c r="F174" s="18"/>
      <c r="G174" s="18"/>
      <c r="H174" s="18"/>
      <c r="I174" s="18"/>
      <c r="J174" s="18"/>
      <c r="K174" s="18"/>
      <c r="L174" s="18"/>
      <c r="M174" s="18"/>
      <c r="N174" s="18"/>
      <c r="O174" s="18"/>
    </row>
    <row r="175" spans="3:27" x14ac:dyDescent="0.3">
      <c r="D175" s="21" t="s">
        <v>23</v>
      </c>
      <c r="E175" s="19">
        <v>1281</v>
      </c>
      <c r="F175" s="18"/>
      <c r="G175" s="18"/>
      <c r="H175" s="18"/>
      <c r="I175" s="18"/>
      <c r="J175" s="18"/>
      <c r="K175" s="18"/>
      <c r="L175" s="18"/>
      <c r="M175" s="18"/>
      <c r="N175" s="18"/>
      <c r="O175" s="18"/>
    </row>
    <row r="176" spans="3:27" x14ac:dyDescent="0.3">
      <c r="D176" s="20" t="s">
        <v>43</v>
      </c>
      <c r="E176" s="19">
        <v>578</v>
      </c>
      <c r="F176" s="18"/>
      <c r="G176" s="18"/>
      <c r="H176" s="18"/>
      <c r="I176" s="18"/>
      <c r="J176" s="18"/>
      <c r="K176" s="18"/>
      <c r="L176" s="18"/>
      <c r="M176" s="18"/>
      <c r="N176" s="18"/>
      <c r="O176" s="18"/>
    </row>
    <row r="177" spans="4:15" x14ac:dyDescent="0.3">
      <c r="D177" s="22" t="s">
        <v>9</v>
      </c>
      <c r="E177" s="19">
        <v>230</v>
      </c>
      <c r="F177" s="18"/>
      <c r="G177" s="18"/>
      <c r="H177" s="18"/>
      <c r="I177" s="18"/>
      <c r="J177" s="18"/>
      <c r="K177" s="18"/>
      <c r="L177" s="18"/>
      <c r="M177" s="18"/>
      <c r="N177" s="18"/>
      <c r="O177" s="18"/>
    </row>
    <row r="178" spans="4:15" x14ac:dyDescent="0.3">
      <c r="D178" s="22" t="s">
        <v>8</v>
      </c>
      <c r="E178" s="19">
        <v>348</v>
      </c>
      <c r="F178" s="18"/>
      <c r="G178" s="18"/>
      <c r="H178" s="18"/>
      <c r="I178" s="18"/>
      <c r="J178" s="18"/>
      <c r="K178" s="18"/>
      <c r="L178" s="18"/>
      <c r="M178" s="18"/>
      <c r="N178" s="18"/>
      <c r="O178" s="18"/>
    </row>
    <row r="179" spans="4:15" x14ac:dyDescent="0.3">
      <c r="D179" s="20" t="s">
        <v>6</v>
      </c>
      <c r="E179" s="19">
        <v>703</v>
      </c>
      <c r="F179" s="18"/>
      <c r="G179" s="18"/>
      <c r="H179" s="18"/>
      <c r="I179" s="18"/>
      <c r="J179" s="18"/>
      <c r="K179" s="18"/>
      <c r="L179" s="18"/>
      <c r="M179" s="18"/>
      <c r="N179" s="18"/>
      <c r="O179" s="18"/>
    </row>
    <row r="180" spans="4:15" x14ac:dyDescent="0.3">
      <c r="D180" s="22" t="s">
        <v>6</v>
      </c>
      <c r="E180" s="19">
        <v>703</v>
      </c>
      <c r="F180" s="18"/>
      <c r="G180" s="18"/>
      <c r="H180" s="18"/>
      <c r="I180" s="18"/>
      <c r="J180" s="18"/>
      <c r="K180" s="18"/>
      <c r="L180" s="18"/>
      <c r="M180" s="18"/>
      <c r="N180" s="18"/>
      <c r="O180" s="18"/>
    </row>
    <row r="181" spans="4:15" x14ac:dyDescent="0.3">
      <c r="D181" s="21" t="s">
        <v>22</v>
      </c>
      <c r="E181" s="19">
        <v>1032</v>
      </c>
      <c r="F181" s="18"/>
      <c r="G181" s="18"/>
      <c r="H181" s="18"/>
      <c r="I181" s="18"/>
      <c r="J181" s="18"/>
      <c r="K181" s="18"/>
      <c r="L181" s="18"/>
      <c r="M181" s="18"/>
      <c r="N181" s="18"/>
      <c r="O181" s="18"/>
    </row>
    <row r="182" spans="4:15" x14ac:dyDescent="0.3">
      <c r="D182" s="20" t="s">
        <v>43</v>
      </c>
      <c r="E182" s="19">
        <v>751</v>
      </c>
      <c r="F182" s="18"/>
      <c r="G182" s="18"/>
      <c r="H182" s="18"/>
      <c r="I182" s="18"/>
      <c r="J182" s="18"/>
      <c r="K182" s="18"/>
      <c r="L182" s="18"/>
      <c r="M182" s="18"/>
      <c r="N182" s="18"/>
      <c r="O182" s="18"/>
    </row>
    <row r="183" spans="4:15" x14ac:dyDescent="0.3">
      <c r="D183" s="22" t="s">
        <v>9</v>
      </c>
      <c r="E183" s="19">
        <v>417</v>
      </c>
      <c r="F183" s="18"/>
      <c r="G183" s="18"/>
      <c r="H183" s="18"/>
      <c r="I183" s="18"/>
      <c r="J183" s="18"/>
      <c r="K183" s="18"/>
      <c r="L183" s="18"/>
      <c r="M183" s="18"/>
      <c r="N183" s="18"/>
      <c r="O183" s="18"/>
    </row>
    <row r="184" spans="4:15" x14ac:dyDescent="0.3">
      <c r="D184" s="22" t="s">
        <v>8</v>
      </c>
      <c r="E184" s="19">
        <v>334</v>
      </c>
      <c r="F184" s="18"/>
      <c r="G184" s="18"/>
      <c r="H184" s="18"/>
      <c r="I184" s="18"/>
      <c r="J184" s="18"/>
      <c r="K184" s="18"/>
      <c r="L184" s="18"/>
      <c r="M184" s="18"/>
      <c r="N184" s="18"/>
      <c r="O184" s="18"/>
    </row>
    <row r="185" spans="4:15" x14ac:dyDescent="0.3">
      <c r="D185" s="20" t="s">
        <v>6</v>
      </c>
      <c r="E185" s="19">
        <v>281</v>
      </c>
      <c r="F185" s="18"/>
      <c r="G185" s="18"/>
      <c r="H185" s="18"/>
      <c r="I185" s="18"/>
      <c r="J185" s="18"/>
      <c r="K185" s="18"/>
      <c r="L185" s="18"/>
      <c r="M185" s="18"/>
      <c r="N185" s="18"/>
      <c r="O185" s="18"/>
    </row>
    <row r="186" spans="4:15" x14ac:dyDescent="0.3">
      <c r="D186" s="22" t="s">
        <v>6</v>
      </c>
      <c r="E186" s="19">
        <v>281</v>
      </c>
      <c r="F186" s="18"/>
      <c r="G186" s="18"/>
      <c r="H186" s="18"/>
      <c r="I186" s="18"/>
      <c r="J186" s="18"/>
      <c r="K186" s="18"/>
      <c r="L186" s="18"/>
      <c r="M186" s="18"/>
      <c r="N186" s="18"/>
      <c r="O186" s="18"/>
    </row>
    <row r="187" spans="4:15" x14ac:dyDescent="0.3">
      <c r="D187" s="21" t="s">
        <v>24</v>
      </c>
      <c r="E187" s="19">
        <v>958</v>
      </c>
      <c r="F187" s="18"/>
      <c r="G187" s="18"/>
      <c r="H187" s="18"/>
      <c r="I187" s="18"/>
      <c r="J187" s="18"/>
      <c r="K187" s="18"/>
      <c r="L187" s="18"/>
      <c r="M187" s="18"/>
      <c r="N187" s="18"/>
      <c r="O187" s="18"/>
    </row>
    <row r="188" spans="4:15" x14ac:dyDescent="0.3">
      <c r="D188" s="20" t="s">
        <v>43</v>
      </c>
      <c r="E188" s="19">
        <v>882</v>
      </c>
      <c r="F188" s="18"/>
      <c r="G188" s="18"/>
      <c r="H188" s="18"/>
      <c r="I188" s="18"/>
      <c r="J188" s="18"/>
      <c r="K188" s="18"/>
      <c r="L188" s="18"/>
      <c r="M188" s="18"/>
      <c r="N188" s="18"/>
      <c r="O188" s="18"/>
    </row>
    <row r="189" spans="4:15" x14ac:dyDescent="0.3">
      <c r="D189" s="22" t="s">
        <v>9</v>
      </c>
      <c r="E189" s="19">
        <v>441</v>
      </c>
      <c r="F189" s="18"/>
      <c r="G189" s="18"/>
      <c r="H189" s="18"/>
      <c r="I189" s="18"/>
      <c r="J189" s="18"/>
      <c r="K189" s="18"/>
      <c r="L189" s="18"/>
      <c r="M189" s="18"/>
      <c r="N189" s="18"/>
      <c r="O189" s="18"/>
    </row>
    <row r="190" spans="4:15" x14ac:dyDescent="0.3">
      <c r="D190" s="22" t="s">
        <v>8</v>
      </c>
      <c r="E190" s="19">
        <v>441</v>
      </c>
      <c r="F190" s="18"/>
      <c r="G190" s="18"/>
      <c r="H190" s="18"/>
      <c r="I190" s="18"/>
      <c r="J190" s="18"/>
      <c r="K190" s="18"/>
      <c r="L190" s="18"/>
      <c r="M190" s="18"/>
      <c r="N190" s="18"/>
      <c r="O190" s="18"/>
    </row>
    <row r="191" spans="4:15" x14ac:dyDescent="0.3">
      <c r="D191" s="20" t="s">
        <v>6</v>
      </c>
      <c r="E191" s="19">
        <v>76</v>
      </c>
      <c r="F191" s="18"/>
      <c r="G191" s="18"/>
      <c r="H191" s="18"/>
      <c r="I191" s="18"/>
      <c r="J191" s="18"/>
      <c r="K191" s="18"/>
      <c r="L191" s="18"/>
      <c r="M191" s="18"/>
      <c r="N191" s="18"/>
      <c r="O191" s="18"/>
    </row>
    <row r="192" spans="4:15" x14ac:dyDescent="0.3">
      <c r="D192" s="22" t="s">
        <v>6</v>
      </c>
      <c r="E192" s="19">
        <v>76</v>
      </c>
      <c r="F192" s="18"/>
      <c r="G192" s="18"/>
      <c r="H192" s="18"/>
      <c r="I192" s="18"/>
      <c r="J192" s="18"/>
      <c r="K192" s="18"/>
      <c r="L192" s="18"/>
      <c r="M192" s="18"/>
      <c r="N192" s="18"/>
      <c r="O192" s="18"/>
    </row>
    <row r="193" spans="3:16" x14ac:dyDescent="0.3">
      <c r="D193" s="21" t="s">
        <v>20</v>
      </c>
      <c r="E193" s="19">
        <v>1155</v>
      </c>
      <c r="F193" s="18"/>
      <c r="G193" s="18"/>
      <c r="H193" s="18"/>
      <c r="I193" s="18"/>
      <c r="J193" s="18"/>
      <c r="K193" s="18"/>
      <c r="L193" s="18"/>
      <c r="M193" s="18"/>
      <c r="N193" s="18"/>
      <c r="O193" s="18"/>
    </row>
    <row r="194" spans="3:16" x14ac:dyDescent="0.3">
      <c r="D194" s="20" t="s">
        <v>43</v>
      </c>
      <c r="E194" s="19">
        <v>483</v>
      </c>
      <c r="F194" s="18"/>
      <c r="G194" s="18"/>
      <c r="H194" s="18"/>
      <c r="I194" s="18"/>
      <c r="J194" s="18"/>
      <c r="K194" s="18"/>
      <c r="L194" s="18"/>
      <c r="M194" s="18"/>
      <c r="N194" s="18"/>
      <c r="O194" s="18"/>
    </row>
    <row r="195" spans="3:16" x14ac:dyDescent="0.3">
      <c r="D195" s="22" t="s">
        <v>8</v>
      </c>
      <c r="E195" s="19">
        <v>483</v>
      </c>
      <c r="F195" s="18"/>
      <c r="G195" s="18"/>
      <c r="H195" s="18"/>
      <c r="I195" s="18"/>
      <c r="J195" s="18"/>
      <c r="K195" s="18"/>
      <c r="L195" s="18"/>
      <c r="M195" s="18"/>
      <c r="N195" s="18"/>
      <c r="O195" s="18"/>
    </row>
    <row r="196" spans="3:16" x14ac:dyDescent="0.3">
      <c r="D196" s="20" t="s">
        <v>6</v>
      </c>
      <c r="E196" s="19">
        <v>672</v>
      </c>
      <c r="F196" s="18"/>
      <c r="G196" s="18"/>
      <c r="H196" s="18"/>
      <c r="I196" s="18"/>
      <c r="J196" s="18"/>
      <c r="K196" s="18"/>
      <c r="L196" s="18"/>
      <c r="M196" s="18"/>
      <c r="N196" s="18"/>
      <c r="O196" s="18"/>
    </row>
    <row r="197" spans="3:16" x14ac:dyDescent="0.3">
      <c r="D197" s="18"/>
      <c r="E197" s="18"/>
      <c r="F197" s="18"/>
      <c r="G197" s="18"/>
      <c r="H197" s="18"/>
      <c r="I197" s="18"/>
      <c r="J197" s="18"/>
      <c r="K197" s="18"/>
      <c r="L197" s="18"/>
      <c r="M197" s="18"/>
      <c r="N197" s="18"/>
      <c r="O197" s="18"/>
    </row>
    <row r="198" spans="3:16" x14ac:dyDescent="0.3">
      <c r="D198" s="18"/>
      <c r="E198" s="18"/>
      <c r="F198" s="18"/>
      <c r="G198" s="18"/>
      <c r="H198" s="18"/>
      <c r="I198" s="18"/>
      <c r="J198" s="18"/>
      <c r="K198" s="18"/>
      <c r="L198" s="18"/>
      <c r="M198" s="18"/>
      <c r="N198" s="18"/>
      <c r="O198" s="18"/>
    </row>
    <row r="199" spans="3:16" x14ac:dyDescent="0.3">
      <c r="D199" s="18"/>
      <c r="E199" s="18"/>
      <c r="F199" s="18"/>
      <c r="G199" s="18"/>
      <c r="H199" s="18"/>
      <c r="I199" s="18"/>
      <c r="J199" s="18"/>
      <c r="K199" s="18"/>
      <c r="L199" s="18"/>
      <c r="M199" s="18"/>
      <c r="N199" s="18"/>
      <c r="O199" s="18"/>
    </row>
    <row r="200" spans="3:16" x14ac:dyDescent="0.3">
      <c r="D200" s="18"/>
      <c r="E200" s="18"/>
      <c r="F200" s="18"/>
      <c r="G200" s="18"/>
      <c r="H200" s="18"/>
      <c r="I200" s="18"/>
      <c r="J200" s="18"/>
      <c r="K200" s="18"/>
      <c r="L200" s="18"/>
      <c r="M200" s="18"/>
      <c r="N200" s="18"/>
      <c r="O200" s="18"/>
    </row>
    <row r="201" spans="3:16" x14ac:dyDescent="0.3">
      <c r="D201" s="18"/>
      <c r="E201" s="18"/>
      <c r="F201" s="18"/>
      <c r="G201" s="18"/>
      <c r="H201" s="18"/>
      <c r="I201" s="18"/>
      <c r="J201" s="18"/>
      <c r="K201" s="18"/>
      <c r="L201" s="18"/>
      <c r="M201" s="18"/>
      <c r="N201" s="18"/>
      <c r="O201" s="18"/>
    </row>
    <row r="202" spans="3:16" x14ac:dyDescent="0.3">
      <c r="D202" s="18"/>
      <c r="E202" s="18"/>
      <c r="F202" s="18"/>
      <c r="G202" s="18"/>
      <c r="H202" s="18"/>
      <c r="I202" s="18"/>
      <c r="J202" s="18"/>
      <c r="K202" s="18"/>
      <c r="L202" s="18"/>
      <c r="M202" s="18"/>
      <c r="N202" s="18"/>
      <c r="O202" s="18"/>
    </row>
    <row r="203" spans="3:16" x14ac:dyDescent="0.3">
      <c r="D203" s="18"/>
      <c r="E203" s="18"/>
      <c r="F203" s="18"/>
      <c r="G203" s="18"/>
      <c r="H203" s="18"/>
      <c r="I203" s="18"/>
      <c r="J203" s="18"/>
      <c r="K203" s="18"/>
      <c r="L203" s="18"/>
      <c r="M203" s="18"/>
      <c r="N203" s="18"/>
      <c r="O203" s="18"/>
    </row>
    <row r="206" spans="3:16" x14ac:dyDescent="0.3">
      <c r="C206" s="5" t="s">
        <v>39</v>
      </c>
      <c r="D206" s="24" t="s">
        <v>40</v>
      </c>
      <c r="E206" s="24"/>
      <c r="F206" s="24"/>
      <c r="G206" s="24"/>
      <c r="H206" s="24"/>
      <c r="I206" s="24"/>
      <c r="J206" s="24"/>
      <c r="K206" s="24"/>
      <c r="L206" s="24"/>
      <c r="M206" s="24"/>
      <c r="N206" s="24"/>
      <c r="O206" s="24"/>
      <c r="P206" s="24"/>
    </row>
    <row r="208" spans="3:16" x14ac:dyDescent="0.3">
      <c r="C208" s="4" t="s">
        <v>14</v>
      </c>
      <c r="D208" s="10" t="s">
        <v>17</v>
      </c>
      <c r="E208" t="s">
        <v>18</v>
      </c>
      <c r="F208" t="s">
        <v>19</v>
      </c>
    </row>
    <row r="209" spans="4:6" x14ac:dyDescent="0.3">
      <c r="D209" s="16" t="s">
        <v>23</v>
      </c>
      <c r="E209" s="13">
        <v>320.25</v>
      </c>
      <c r="F209" s="13">
        <v>65.5</v>
      </c>
    </row>
    <row r="210" spans="4:6" x14ac:dyDescent="0.3">
      <c r="D210" s="12" t="s">
        <v>43</v>
      </c>
      <c r="E210" s="13">
        <v>578</v>
      </c>
      <c r="F210" s="13">
        <v>93</v>
      </c>
    </row>
    <row r="211" spans="4:6" x14ac:dyDescent="0.3">
      <c r="D211" s="14" t="s">
        <v>9</v>
      </c>
      <c r="E211" s="13">
        <v>230</v>
      </c>
      <c r="F211" s="13">
        <v>37</v>
      </c>
    </row>
    <row r="212" spans="4:6" x14ac:dyDescent="0.3">
      <c r="D212" s="14" t="s">
        <v>8</v>
      </c>
      <c r="E212" s="13">
        <v>348</v>
      </c>
      <c r="F212" s="13">
        <v>56</v>
      </c>
    </row>
    <row r="213" spans="4:6" x14ac:dyDescent="0.3">
      <c r="D213" s="12" t="s">
        <v>6</v>
      </c>
      <c r="E213" s="13">
        <v>703</v>
      </c>
      <c r="F213" s="13">
        <v>169</v>
      </c>
    </row>
    <row r="214" spans="4:6" x14ac:dyDescent="0.3">
      <c r="D214" s="14" t="s">
        <v>6</v>
      </c>
      <c r="E214" s="13">
        <v>703</v>
      </c>
      <c r="F214" s="13">
        <v>169</v>
      </c>
    </row>
    <row r="215" spans="4:6" x14ac:dyDescent="0.3">
      <c r="D215" s="16" t="s">
        <v>22</v>
      </c>
      <c r="E215" s="13">
        <v>344</v>
      </c>
      <c r="F215" s="13">
        <v>43.666666666666664</v>
      </c>
    </row>
    <row r="216" spans="4:6" x14ac:dyDescent="0.3">
      <c r="D216" s="12" t="s">
        <v>43</v>
      </c>
      <c r="E216" s="13">
        <v>751</v>
      </c>
      <c r="F216" s="13">
        <v>81</v>
      </c>
    </row>
    <row r="217" spans="4:6" x14ac:dyDescent="0.3">
      <c r="D217" s="14" t="s">
        <v>9</v>
      </c>
      <c r="E217" s="13">
        <v>417</v>
      </c>
      <c r="F217" s="13">
        <v>29</v>
      </c>
    </row>
    <row r="218" spans="4:6" x14ac:dyDescent="0.3">
      <c r="D218" s="14" t="s">
        <v>8</v>
      </c>
      <c r="E218" s="13">
        <v>334</v>
      </c>
      <c r="F218" s="13">
        <v>52</v>
      </c>
    </row>
    <row r="219" spans="4:6" x14ac:dyDescent="0.3">
      <c r="D219" s="12" t="s">
        <v>6</v>
      </c>
      <c r="E219" s="13">
        <v>281</v>
      </c>
      <c r="F219" s="13">
        <v>50</v>
      </c>
    </row>
    <row r="220" spans="4:6" x14ac:dyDescent="0.3">
      <c r="D220" s="14" t="s">
        <v>6</v>
      </c>
      <c r="E220" s="13">
        <v>281</v>
      </c>
      <c r="F220" s="13">
        <v>50</v>
      </c>
    </row>
    <row r="221" spans="4:6" x14ac:dyDescent="0.3">
      <c r="D221" s="16" t="s">
        <v>24</v>
      </c>
      <c r="E221" s="13">
        <v>319.33333333333331</v>
      </c>
      <c r="F221" s="13">
        <v>62</v>
      </c>
    </row>
    <row r="222" spans="4:6" x14ac:dyDescent="0.3">
      <c r="D222" s="12" t="s">
        <v>43</v>
      </c>
      <c r="E222" s="13">
        <v>882</v>
      </c>
      <c r="F222" s="13">
        <v>123</v>
      </c>
    </row>
    <row r="223" spans="4:6" x14ac:dyDescent="0.3">
      <c r="D223" s="14" t="s">
        <v>9</v>
      </c>
      <c r="E223" s="13">
        <v>441</v>
      </c>
      <c r="F223" s="13">
        <v>44</v>
      </c>
    </row>
    <row r="224" spans="4:6" x14ac:dyDescent="0.3">
      <c r="D224" s="14" t="s">
        <v>8</v>
      </c>
      <c r="E224" s="13">
        <v>441</v>
      </c>
      <c r="F224" s="13">
        <v>79</v>
      </c>
    </row>
    <row r="225" spans="3:22" x14ac:dyDescent="0.3">
      <c r="D225" s="12" t="s">
        <v>6</v>
      </c>
      <c r="E225" s="13">
        <v>76</v>
      </c>
      <c r="F225" s="13">
        <v>63</v>
      </c>
    </row>
    <row r="226" spans="3:22" x14ac:dyDescent="0.3">
      <c r="D226" s="14" t="s">
        <v>6</v>
      </c>
      <c r="E226" s="13">
        <v>76</v>
      </c>
      <c r="F226" s="13">
        <v>63</v>
      </c>
    </row>
    <row r="227" spans="3:22" x14ac:dyDescent="0.3">
      <c r="D227" s="16" t="s">
        <v>20</v>
      </c>
      <c r="E227" s="13">
        <v>385</v>
      </c>
      <c r="F227" s="13">
        <v>72.333333333333329</v>
      </c>
    </row>
    <row r="228" spans="3:22" x14ac:dyDescent="0.3">
      <c r="D228" s="12" t="s">
        <v>43</v>
      </c>
      <c r="E228" s="13">
        <v>483</v>
      </c>
      <c r="F228" s="13">
        <v>97</v>
      </c>
    </row>
    <row r="229" spans="3:22" x14ac:dyDescent="0.3">
      <c r="D229" s="14" t="s">
        <v>8</v>
      </c>
      <c r="E229" s="13">
        <v>483</v>
      </c>
      <c r="F229" s="13">
        <v>97</v>
      </c>
    </row>
    <row r="230" spans="3:22" x14ac:dyDescent="0.3">
      <c r="D230" s="12" t="s">
        <v>6</v>
      </c>
      <c r="E230" s="13">
        <v>672</v>
      </c>
      <c r="F230" s="13">
        <v>120</v>
      </c>
    </row>
    <row r="231" spans="3:22" x14ac:dyDescent="0.3">
      <c r="D231" s="14" t="s">
        <v>6</v>
      </c>
      <c r="E231" s="13">
        <v>672</v>
      </c>
      <c r="F231" s="13">
        <v>120</v>
      </c>
    </row>
    <row r="232" spans="3:22" x14ac:dyDescent="0.3">
      <c r="C232" s="5" t="s">
        <v>41</v>
      </c>
      <c r="D232" s="24" t="s">
        <v>42</v>
      </c>
      <c r="E232" s="24"/>
      <c r="F232" s="24"/>
      <c r="G232" s="24"/>
      <c r="H232" s="24"/>
      <c r="I232" s="24"/>
      <c r="J232" s="24"/>
      <c r="K232" s="24"/>
      <c r="L232" s="24"/>
      <c r="M232" s="24"/>
      <c r="N232" s="24"/>
      <c r="O232" s="24"/>
      <c r="P232" s="24"/>
      <c r="Q232" s="24"/>
      <c r="R232" s="24"/>
      <c r="S232" s="24"/>
    </row>
    <row r="234" spans="3:22" x14ac:dyDescent="0.3">
      <c r="C234" s="4" t="s">
        <v>14</v>
      </c>
      <c r="D234" s="10" t="s">
        <v>17</v>
      </c>
      <c r="E234" t="s">
        <v>18</v>
      </c>
    </row>
    <row r="235" spans="3:22" x14ac:dyDescent="0.3">
      <c r="D235" s="11" t="s">
        <v>43</v>
      </c>
      <c r="E235" s="3">
        <v>0.63083906867769801</v>
      </c>
      <c r="F235" s="18">
        <f>GETPIVOTDATA("Sales",$D$234,"Fruit","Group1")/GETPIVOTDATA("Sales",$D$234,"Fruit","Mangoes")</f>
        <v>1.7088456961523204</v>
      </c>
      <c r="G235" s="30" t="s">
        <v>52</v>
      </c>
      <c r="H235" s="30"/>
      <c r="I235" s="30"/>
      <c r="J235" s="30"/>
      <c r="K235" s="30"/>
      <c r="L235" s="30"/>
      <c r="M235" s="30"/>
      <c r="N235" s="30"/>
      <c r="O235" s="30"/>
      <c r="P235" s="30"/>
      <c r="Q235" s="30"/>
      <c r="R235" s="30"/>
      <c r="S235" s="30"/>
      <c r="T235" s="30"/>
      <c r="U235" s="30"/>
      <c r="V235" s="30"/>
    </row>
    <row r="236" spans="3:22" x14ac:dyDescent="0.3">
      <c r="D236" s="12" t="s">
        <v>9</v>
      </c>
      <c r="E236" s="3">
        <v>0.26431395519109679</v>
      </c>
    </row>
    <row r="237" spans="3:22" x14ac:dyDescent="0.3">
      <c r="D237" s="12" t="s">
        <v>8</v>
      </c>
      <c r="E237" s="3">
        <v>0.36652511348660127</v>
      </c>
    </row>
    <row r="238" spans="3:22" x14ac:dyDescent="0.3">
      <c r="D238" s="11" t="s">
        <v>6</v>
      </c>
      <c r="E238" s="3">
        <v>0.36916093132230193</v>
      </c>
    </row>
    <row r="239" spans="3:22" x14ac:dyDescent="0.3">
      <c r="D239" s="12" t="s">
        <v>6</v>
      </c>
      <c r="E239" s="3">
        <v>0.36916093132230193</v>
      </c>
    </row>
    <row r="240" spans="3:22" x14ac:dyDescent="0.3">
      <c r="D240" s="11" t="s">
        <v>26</v>
      </c>
      <c r="E240" s="3">
        <v>1</v>
      </c>
    </row>
  </sheetData>
  <autoFilter ref="M103:Q123" xr:uid="{00000000-0001-0000-0000-000000000000}">
    <filterColumn colId="1">
      <filters>
        <filter val="North"/>
        <filter val="South"/>
      </filters>
    </filterColumn>
  </autoFilter>
  <sortState xmlns:xlrd2="http://schemas.microsoft.com/office/spreadsheetml/2017/richdata2" ref="G106:G123">
    <sortCondition ref="G105:G123"/>
  </sortState>
  <mergeCells count="18">
    <mergeCell ref="F2:S7"/>
    <mergeCell ref="D32:V32"/>
    <mergeCell ref="D34:W34"/>
    <mergeCell ref="D36:V36"/>
    <mergeCell ref="D97:T97"/>
    <mergeCell ref="D73:U73"/>
    <mergeCell ref="D206:P206"/>
    <mergeCell ref="D232:S232"/>
    <mergeCell ref="G235:V235"/>
    <mergeCell ref="D153:P153"/>
    <mergeCell ref="D165:U165"/>
    <mergeCell ref="D169:R173"/>
    <mergeCell ref="D133:T133"/>
    <mergeCell ref="D99:G101"/>
    <mergeCell ref="M99:R101"/>
    <mergeCell ref="C125:J127"/>
    <mergeCell ref="L125:T127"/>
    <mergeCell ref="B129:U131"/>
  </mergeCells>
  <conditionalFormatting sqref="G76:G95">
    <cfRule type="cellIs" dxfId="4" priority="1" operator="greaterThan">
      <formula>400</formula>
    </cfRule>
  </conditionalFormatting>
  <pageMargins left="0.7" right="0.7" top="0.75" bottom="0.75" header="0.3" footer="0.3"/>
  <pageSetup paperSize="9" orientation="portrait" r:id="rId5"/>
  <drawing r:id="rId6"/>
  <legacy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assignment-22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kartik Mishra</dc:creator>
  <cp:lastModifiedBy>Krishna kartik Mishra</cp:lastModifiedBy>
  <dcterms:created xsi:type="dcterms:W3CDTF">2025-11-07T19:25:22Z</dcterms:created>
  <dcterms:modified xsi:type="dcterms:W3CDTF">2025-11-08T10:14:17Z</dcterms:modified>
</cp:coreProperties>
</file>