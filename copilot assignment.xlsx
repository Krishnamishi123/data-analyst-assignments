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1A8C3629914975C9/Documents/"/>
    </mc:Choice>
  </mc:AlternateContent>
  <xr:revisionPtr revIDLastSave="0" documentId="14_{EBA14D54-D96D-4618-8F6E-70887DAA6FEA}" xr6:coauthVersionLast="47" xr6:coauthVersionMax="47" xr10:uidLastSave="{00000000-0000-0000-0000-000000000000}"/>
  <bookViews>
    <workbookView xWindow="-108" yWindow="-108" windowWidth="23256" windowHeight="12456" activeTab="1" xr2:uid="{F1D6A64D-DA91-4AE7-BE35-F5AED8D8D878}"/>
  </bookViews>
  <sheets>
    <sheet name="Sheet2" sheetId="2" r:id="rId1"/>
    <sheet name="Sheet1" sheetId="1" r:id="rId2"/>
  </sheets>
  <definedNames>
    <definedName name="Slicer_M">#N/A</definedName>
    <definedName name="Slicer_Region">#N/A</definedName>
  </definedNames>
  <calcPr calcId="191029"/>
  <pivotCaches>
    <pivotCache cacheId="2"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0" i="1" l="1"/>
  <c r="N74" i="1"/>
  <c r="N75" i="1"/>
  <c r="N76" i="1"/>
  <c r="N77" i="1"/>
  <c r="N78" i="1"/>
  <c r="N79" i="1"/>
  <c r="N80" i="1"/>
  <c r="N81" i="1"/>
  <c r="N73" i="1"/>
</calcChain>
</file>

<file path=xl/sharedStrings.xml><?xml version="1.0" encoding="utf-8"?>
<sst xmlns="http://schemas.openxmlformats.org/spreadsheetml/2006/main" count="283" uniqueCount="149">
  <si>
    <t>Excel with Copilot</t>
  </si>
  <si>
    <t>Question-1</t>
  </si>
  <si>
    <t xml:space="preserve"> Use Copilot to identify and summarize missing values in the dataset.</t>
  </si>
  <si>
    <t>Answer--</t>
  </si>
  <si>
    <t>Notable issues are as follows:</t>
  </si>
  <si>
    <r>
      <rPr>
        <b/>
        <sz val="11"/>
        <color theme="1"/>
        <rFont val="Calibri"/>
        <family val="2"/>
        <scheme val="minor"/>
      </rPr>
      <t>a)- ORD0039:</t>
    </r>
    <r>
      <rPr>
        <sz val="11"/>
        <color theme="1"/>
        <rFont val="Calibri"/>
        <family val="2"/>
        <scheme val="minor"/>
      </rPr>
      <t xml:space="preserve"> Units Sold is a decimal (91.23), which may be unintended.</t>
    </r>
  </si>
  <si>
    <r>
      <rPr>
        <b/>
        <sz val="11"/>
        <color theme="1"/>
        <rFont val="Calibri"/>
        <family val="2"/>
        <scheme val="minor"/>
      </rPr>
      <t>b)- ORD0251:</t>
    </r>
    <r>
      <rPr>
        <sz val="11"/>
        <color theme="1"/>
        <rFont val="Calibri"/>
        <family val="2"/>
        <scheme val="minor"/>
      </rPr>
      <t xml:space="preserve"> Units Sold is missing.</t>
    </r>
  </si>
  <si>
    <r>
      <rPr>
        <b/>
        <sz val="11"/>
        <color theme="1"/>
        <rFont val="Calibri"/>
        <family val="2"/>
        <scheme val="minor"/>
      </rPr>
      <t xml:space="preserve">c)- ORD0314 and ORD0317: </t>
    </r>
    <r>
      <rPr>
        <sz val="11"/>
        <color theme="1"/>
        <rFont val="Calibri"/>
        <family val="2"/>
        <scheme val="minor"/>
      </rPr>
      <t>Country and Category are missing.</t>
    </r>
  </si>
  <si>
    <r>
      <rPr>
        <b/>
        <sz val="11"/>
        <color theme="1"/>
        <rFont val="Calibri"/>
        <family val="2"/>
        <scheme val="minor"/>
      </rPr>
      <t>d)- ORD0289</t>
    </r>
    <r>
      <rPr>
        <sz val="11"/>
        <color theme="1"/>
        <rFont val="Calibri"/>
        <family val="2"/>
        <scheme val="minor"/>
      </rPr>
      <t>: Units Sold is missing.</t>
    </r>
  </si>
  <si>
    <r>
      <rPr>
        <b/>
        <sz val="11"/>
        <color theme="1"/>
        <rFont val="Calibri"/>
        <family val="2"/>
        <scheme val="minor"/>
      </rPr>
      <t>e)- ORD0228:</t>
    </r>
    <r>
      <rPr>
        <sz val="11"/>
        <color theme="1"/>
        <rFont val="Calibri"/>
        <family val="2"/>
        <scheme val="minor"/>
      </rPr>
      <t xml:space="preserve"> Country is missing.</t>
    </r>
  </si>
  <si>
    <r>
      <rPr>
        <b/>
        <sz val="11"/>
        <color theme="1"/>
        <rFont val="Calibri"/>
        <family val="2"/>
        <scheme val="minor"/>
      </rPr>
      <t>f)- ORD0037, ORD0045, ORD0080, ORD0257, ORD0308:</t>
    </r>
    <r>
      <rPr>
        <sz val="11"/>
        <color theme="1"/>
        <rFont val="Calibri"/>
        <family val="2"/>
        <scheme val="minor"/>
      </rPr>
      <t xml:space="preserve"> Unit Cost is missing.</t>
    </r>
  </si>
  <si>
    <t>Summary of Missing Values By Column:</t>
  </si>
  <si>
    <t>Column</t>
  </si>
  <si>
    <t>Missing Count</t>
  </si>
  <si>
    <t>Notes</t>
  </si>
  <si>
    <t>Region</t>
  </si>
  <si>
    <t>Country</t>
  </si>
  <si>
    <t>Category</t>
  </si>
  <si>
    <t>Sales Channel</t>
  </si>
  <si>
    <t>Order Priority</t>
  </si>
  <si>
    <t>Order Date</t>
  </si>
  <si>
    <t>Units Sold</t>
  </si>
  <si>
    <t>Unit Price</t>
  </si>
  <si>
    <t>Unit Cost</t>
  </si>
  <si>
    <t>Some rows have missing or ambiguous region entries (e.g., just "India" or "Germany")</t>
  </si>
  <si>
    <t>A few rows are missing country values or have region names instead</t>
  </si>
  <si>
    <t>One row lacks a category value</t>
  </si>
  <si>
    <t>Fully Populated</t>
  </si>
  <si>
    <t>Several rows have missing or malformed values (e.g., decimals or blanks)</t>
  </si>
  <si>
    <t>Some rows are missing price values</t>
  </si>
  <si>
    <t>Most frequent missing field; some rows are entirely blank or malformed</t>
  </si>
  <si>
    <t>Question-3</t>
  </si>
  <si>
    <t>Question-2</t>
  </si>
  <si>
    <t>Use Copilot to fill missing values in the Region and Category columns.</t>
  </si>
  <si>
    <t>OrderID</t>
  </si>
  <si>
    <t>Original</t>
  </si>
  <si>
    <t>Filled</t>
  </si>
  <si>
    <t>ORD0251</t>
  </si>
  <si>
    <t>ORD0314</t>
  </si>
  <si>
    <t>ORD0317</t>
  </si>
  <si>
    <t>ORD0228</t>
  </si>
  <si>
    <t>Missing</t>
  </si>
  <si>
    <t>East</t>
  </si>
  <si>
    <t>South</t>
  </si>
  <si>
    <t>West</t>
  </si>
  <si>
    <t>Furniture</t>
  </si>
  <si>
    <t>Food</t>
  </si>
  <si>
    <t>Clothing</t>
  </si>
  <si>
    <t>Copilot filled these entries based on locality of refrence and trends in whole of the table entries</t>
  </si>
  <si>
    <t xml:space="preserve"> Fill missing numeric values in the Units sold and Unit price columns.</t>
  </si>
  <si>
    <t>Original value</t>
  </si>
  <si>
    <t>Imputed value</t>
  </si>
  <si>
    <t>ORD0257</t>
  </si>
  <si>
    <t>ORD0289</t>
  </si>
  <si>
    <t>ORD0308</t>
  </si>
  <si>
    <t>So Copilot has filled all these values based on contextual averages of the the entire table entries</t>
  </si>
  <si>
    <t>Question-4</t>
  </si>
  <si>
    <t>Create a new calculated column Total Revenue.</t>
  </si>
  <si>
    <t>Order ID</t>
  </si>
  <si>
    <t>ORD0001</t>
  </si>
  <si>
    <t>Germany</t>
  </si>
  <si>
    <t>Beverages</t>
  </si>
  <si>
    <t>Online</t>
  </si>
  <si>
    <t>High</t>
  </si>
  <si>
    <t>ORD0002</t>
  </si>
  <si>
    <t>India</t>
  </si>
  <si>
    <t>Low</t>
  </si>
  <si>
    <t>ORD0003</t>
  </si>
  <si>
    <t>North</t>
  </si>
  <si>
    <t>Offline</t>
  </si>
  <si>
    <t>ORD0004</t>
  </si>
  <si>
    <t>USA</t>
  </si>
  <si>
    <t>Medium</t>
  </si>
  <si>
    <t>ORD0005</t>
  </si>
  <si>
    <t>ORD0006</t>
  </si>
  <si>
    <t>UK</t>
  </si>
  <si>
    <t>ORD0007</t>
  </si>
  <si>
    <t>ORD0008</t>
  </si>
  <si>
    <t>ORD0009</t>
  </si>
  <si>
    <t>Here I have used a few entries of the table to show how copilot has returned me values for the entire table:</t>
  </si>
  <si>
    <t>Total Revenue</t>
  </si>
  <si>
    <t>Copilot did [Units Sold *Unit Price]here</t>
  </si>
  <si>
    <t>Question-5</t>
  </si>
  <si>
    <t>Use Copilot to find the total price of Order ID = ‘ORD0123’</t>
  </si>
  <si>
    <r>
      <t xml:space="preserve">For </t>
    </r>
    <r>
      <rPr>
        <b/>
        <sz val="11"/>
        <color theme="1"/>
        <rFont val="Calibri"/>
        <family val="2"/>
        <scheme val="minor"/>
      </rPr>
      <t>Order ID: ORD0123</t>
    </r>
    <r>
      <rPr>
        <sz val="11"/>
        <color theme="1"/>
        <rFont val="Calibri"/>
        <family val="2"/>
        <scheme val="minor"/>
      </rPr>
      <t>, here's the calculation:</t>
    </r>
  </si>
  <si>
    <t>Units Sold  =</t>
  </si>
  <si>
    <t>Unit Price  =</t>
  </si>
  <si>
    <t>Total Revenue =</t>
  </si>
  <si>
    <t>Units Sold* Unit Price</t>
  </si>
  <si>
    <t>Question-6</t>
  </si>
  <si>
    <t>Use Copilot to generate a summary chart of average profit by region.</t>
  </si>
  <si>
    <t>so on…................</t>
  </si>
  <si>
    <t>This is what copilot returned me as an chart of the average profit by region:</t>
  </si>
  <si>
    <t>Question-7</t>
  </si>
  <si>
    <t>Create a pivot table summarizing total sales by category and region.</t>
  </si>
  <si>
    <t>Here is a snippet of what copilot returned me as a pivot table:</t>
  </si>
  <si>
    <t>Electronics</t>
  </si>
  <si>
    <t>Row Labels</t>
  </si>
  <si>
    <t>Grand Total</t>
  </si>
  <si>
    <t>Sum of East</t>
  </si>
  <si>
    <t>Sum of West</t>
  </si>
  <si>
    <t>Sum of North</t>
  </si>
  <si>
    <t>Sum of South</t>
  </si>
  <si>
    <t>Question-8</t>
  </si>
  <si>
    <t xml:space="preserve"> Build a dashboard combining key KPIs and charts.</t>
  </si>
  <si>
    <t>Total Profit</t>
  </si>
  <si>
    <t>Total Orders</t>
  </si>
  <si>
    <t>Average Order Value</t>
  </si>
  <si>
    <t>Total Units Sold</t>
  </si>
  <si>
    <t>Overall Profit Margin</t>
  </si>
  <si>
    <t>Best Category</t>
  </si>
  <si>
    <t>Top Region</t>
  </si>
  <si>
    <t>Top Country</t>
  </si>
  <si>
    <t>Online/Offline Ratio</t>
  </si>
  <si>
    <t>1200+</t>
  </si>
  <si>
    <t>Office Supplies</t>
  </si>
  <si>
    <t>Key KPI'S are as follows:</t>
  </si>
  <si>
    <t>Central</t>
  </si>
  <si>
    <t>Month</t>
  </si>
  <si>
    <t>Key Tables</t>
  </si>
  <si>
    <t>Key Charts are as follows:</t>
  </si>
  <si>
    <t>M</t>
  </si>
  <si>
    <t>Question-9</t>
  </si>
  <si>
    <t xml:space="preserve"> Use Copilot to generate a summary report.</t>
  </si>
  <si>
    <t>Dataset Overview
- Total Orders: 350+
- Time Range: Jan 1, 2023 – Dec 31, 2023
- Regions Covered: East, West, North, South, Australia, Germany, UK, USA, India
- Categories: Beverages, Food, Clothing, Furniture, Electronics</t>
  </si>
  <si>
    <t xml:space="preserve">🏆 Top Performers
- Top Region by Revenue: West
- Top Category by Revenue: Electronics
- Top Country by Revenue: India
⚠️ Observations
- Some orders had negative revenue, indicating unit cost &gt; unit price.
- Clothing and Beverages had the most variability in profitability.
- Offline sales had more losses compared to online sales.
</t>
  </si>
  <si>
    <t>Revenue Insights:</t>
  </si>
  <si>
    <t>Metric</t>
  </si>
  <si>
    <t>Value</t>
  </si>
  <si>
    <t>Average Revenue per order</t>
  </si>
  <si>
    <t>Highest Revenue Order</t>
  </si>
  <si>
    <t>Lowest Revenue Order</t>
  </si>
  <si>
    <t>₹36.2 million+</t>
  </si>
  <si>
    <t>₹103,000+</t>
  </si>
  <si>
    <t>₹1.9 million (Electronics, South India)</t>
  </si>
  <si>
    <t>Negative Revenue in clothing</t>
  </si>
  <si>
    <t xml:space="preserve"> Monthly Trends
- Peak Months: March, June, September
- Low Months: January, November
- Seasonality: Revenue spikes around fiscal quarters and festive periods
</t>
  </si>
  <si>
    <t>Regional Performance:</t>
  </si>
  <si>
    <t>% of Total</t>
  </si>
  <si>
    <t>Others</t>
  </si>
  <si>
    <t>Highest</t>
  </si>
  <si>
    <t>Strong</t>
  </si>
  <si>
    <t>Moderate</t>
  </si>
  <si>
    <t>Minimal</t>
  </si>
  <si>
    <t>~28%</t>
  </si>
  <si>
    <t>~25%</t>
  </si>
  <si>
    <t>~22%</t>
  </si>
  <si>
    <t>~20%</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</si>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</sst>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8" formatCode="&quot;₹&quot;\ #,##0.00;[Red]&quot;₹&quot;\ \-#,##0.00"/>
    <numFmt numFmtId="164" formatCode="&quot;₹&quot;\ #,##0.00"/>
  </numFmts>
  <fonts count="1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48"/>
      <color theme="1"/>
      <name val="Calibri"/>
      <family val="2"/>
      <scheme val="minor"/>
    </font>
    <font>
      <b/>
      <u/>
      <sz val="11"/>
      <color theme="1"/>
      <name val="Calibri"/>
      <family val="2"/>
      <scheme val="minor"/>
    </font>
    <font>
      <b/>
      <sz val="12"/>
      <color theme="1"/>
      <name val="Calibri"/>
      <family val="2"/>
      <scheme val="minor"/>
    </font>
    <font>
      <sz val="14"/>
      <color theme="1"/>
      <name val="Calibri"/>
      <family val="2"/>
      <scheme val="minor"/>
    </font>
    <font>
      <b/>
      <sz val="20"/>
      <color theme="1"/>
      <name val="Calibri"/>
      <family val="2"/>
      <scheme val="minor"/>
    </font>
    <font>
      <b/>
      <sz val="18"/>
      <color theme="1"/>
      <name val="Calibri"/>
      <family val="2"/>
      <scheme val="minor"/>
    </font>
  </fonts>
  <fills count="12">
    <fill>
      <patternFill patternType="none"/>
    </fill>
    <fill>
      <patternFill patternType="gray125"/>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33CC"/>
        <bgColor indexed="64"/>
      </patternFill>
    </fill>
    <fill>
      <patternFill patternType="solid">
        <fgColor theme="7" tint="0.39997558519241921"/>
        <bgColor indexed="64"/>
      </patternFill>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66">
    <xf numFmtId="0" fontId="0" fillId="0" borderId="0" xfId="0"/>
    <xf numFmtId="0" fontId="2" fillId="0" borderId="0" xfId="0" applyFont="1"/>
    <xf numFmtId="0" fontId="5" fillId="0" borderId="0" xfId="0" applyFont="1"/>
    <xf numFmtId="0" fontId="0" fillId="0" borderId="0" xfId="0" applyAlignment="1">
      <alignment horizontal="left"/>
    </xf>
    <xf numFmtId="0" fontId="0" fillId="0" borderId="1" xfId="0" applyBorder="1" applyAlignment="1">
      <alignment horizontal="center" vertical="center"/>
    </xf>
    <xf numFmtId="0" fontId="2" fillId="4" borderId="1" xfId="0" applyFont="1" applyFill="1" applyBorder="1" applyAlignment="1">
      <alignment horizontal="center" vertical="center"/>
    </xf>
    <xf numFmtId="0" fontId="0" fillId="0" borderId="1" xfId="0" applyBorder="1"/>
    <xf numFmtId="0" fontId="2" fillId="0" borderId="1" xfId="0" applyFont="1" applyBorder="1"/>
    <xf numFmtId="0" fontId="2" fillId="4" borderId="1" xfId="0" applyFont="1" applyFill="1" applyBorder="1"/>
    <xf numFmtId="0" fontId="1" fillId="6" borderId="1" xfId="0" applyFont="1" applyFill="1" applyBorder="1" applyAlignment="1">
      <alignment horizontal="center" vertical="top" wrapText="1"/>
    </xf>
    <xf numFmtId="14" fontId="1" fillId="6" borderId="1" xfId="0" applyNumberFormat="1" applyFont="1" applyFill="1" applyBorder="1" applyAlignment="1">
      <alignment horizontal="center" vertical="center" wrapText="1"/>
    </xf>
    <xf numFmtId="0" fontId="3" fillId="9" borderId="1" xfId="0" applyFont="1" applyFill="1" applyBorder="1" applyAlignment="1">
      <alignment horizontal="center" vertical="center"/>
    </xf>
    <xf numFmtId="0" fontId="0" fillId="7" borderId="1" xfId="0" applyFill="1" applyBorder="1" applyAlignment="1">
      <alignment wrapText="1"/>
    </xf>
    <xf numFmtId="14" fontId="0" fillId="7" borderId="1" xfId="0" applyNumberFormat="1" applyFill="1" applyBorder="1" applyAlignment="1">
      <alignment horizontal="right" vertical="center" wrapText="1"/>
    </xf>
    <xf numFmtId="0" fontId="0" fillId="7" borderId="1" xfId="0" applyFill="1" applyBorder="1" applyAlignment="1">
      <alignment horizontal="right" wrapText="1"/>
    </xf>
    <xf numFmtId="0" fontId="0" fillId="0" borderId="1" xfId="0" applyBorder="1" applyAlignment="1">
      <alignment wrapText="1"/>
    </xf>
    <xf numFmtId="14" fontId="0" fillId="0" borderId="1" xfId="0" applyNumberFormat="1" applyBorder="1" applyAlignment="1">
      <alignment horizontal="right" vertical="center" wrapText="1"/>
    </xf>
    <xf numFmtId="0" fontId="0" fillId="0" borderId="1" xfId="0" applyBorder="1" applyAlignment="1">
      <alignment horizontal="right" wrapText="1"/>
    </xf>
    <xf numFmtId="164" fontId="0" fillId="0" borderId="1" xfId="0" applyNumberFormat="1" applyBorder="1"/>
    <xf numFmtId="0" fontId="0" fillId="0" borderId="0" xfId="0" applyAlignment="1">
      <alignment horizontal="left" vertical="top"/>
    </xf>
    <xf numFmtId="0" fontId="6" fillId="5" borderId="2" xfId="0" applyFont="1" applyFill="1" applyBorder="1" applyAlignment="1">
      <alignment horizontal="center" vertical="center"/>
    </xf>
    <xf numFmtId="0" fontId="6" fillId="5" borderId="0" xfId="0" applyFont="1" applyFill="1" applyAlignment="1">
      <alignment horizontal="center" vertical="center"/>
    </xf>
    <xf numFmtId="0" fontId="2" fillId="8" borderId="0" xfId="0" applyFont="1" applyFill="1" applyAlignment="1">
      <alignment horizontal="left" vertical="top"/>
    </xf>
    <xf numFmtId="0" fontId="7" fillId="4" borderId="2" xfId="0" applyFont="1" applyFill="1" applyBorder="1" applyAlignment="1">
      <alignment horizontal="center" vertical="center"/>
    </xf>
    <xf numFmtId="0" fontId="7" fillId="4" borderId="0" xfId="0" applyFont="1" applyFill="1" applyAlignment="1">
      <alignment horizontal="center" vertical="center"/>
    </xf>
    <xf numFmtId="0" fontId="0" fillId="0" borderId="1" xfId="0" applyBorder="1" applyAlignment="1">
      <alignment horizontal="left" vertical="top"/>
    </xf>
    <xf numFmtId="0" fontId="2" fillId="4" borderId="1" xfId="0" applyFont="1" applyFill="1" applyBorder="1" applyAlignment="1">
      <alignment horizontal="center" vertical="center"/>
    </xf>
    <xf numFmtId="0" fontId="2" fillId="3" borderId="0" xfId="0" applyFont="1" applyFill="1" applyAlignment="1">
      <alignment horizontal="left" vertical="top"/>
    </xf>
    <xf numFmtId="0" fontId="2" fillId="4" borderId="1" xfId="0" applyFont="1" applyFill="1" applyBorder="1" applyAlignment="1">
      <alignment horizontal="left" vertical="top"/>
    </xf>
    <xf numFmtId="0" fontId="4" fillId="2" borderId="0" xfId="0" applyFont="1" applyFill="1" applyAlignment="1">
      <alignment horizontal="center" vertical="center"/>
    </xf>
    <xf numFmtId="0" fontId="6" fillId="4" borderId="0" xfId="0" applyFont="1" applyFill="1" applyAlignment="1">
      <alignment horizontal="left" vertical="top"/>
    </xf>
    <xf numFmtId="0" fontId="0" fillId="0" borderId="0" xfId="0" applyAlignment="1">
      <alignment horizontal="left"/>
    </xf>
    <xf numFmtId="0" fontId="0" fillId="0" borderId="0" xfId="0" applyAlignment="1">
      <alignment horizontal="right"/>
    </xf>
    <xf numFmtId="0" fontId="0" fillId="0" borderId="0" xfId="0" quotePrefix="1"/>
    <xf numFmtId="0" fontId="0" fillId="10" borderId="0" xfId="0" applyFill="1"/>
    <xf numFmtId="0" fontId="2" fillId="10" borderId="0" xfId="0" applyFont="1" applyFill="1"/>
    <xf numFmtId="0" fontId="2" fillId="0" borderId="0" xfId="0" applyFont="1" applyAlignment="1">
      <alignment horizontal="left" vertical="top"/>
    </xf>
    <xf numFmtId="0" fontId="0" fillId="3" borderId="0" xfId="0" applyFill="1" applyAlignment="1">
      <alignment horizontal="left" vertical="top"/>
    </xf>
    <xf numFmtId="0" fontId="0" fillId="0" borderId="0" xfId="0" pivotButton="1"/>
    <xf numFmtId="0" fontId="0" fillId="0" borderId="0" xfId="0" applyNumberFormat="1"/>
    <xf numFmtId="0" fontId="2" fillId="10" borderId="0" xfId="0" applyFont="1" applyFill="1" applyAlignment="1">
      <alignment horizontal="left" vertical="top"/>
    </xf>
    <xf numFmtId="0" fontId="2" fillId="10" borderId="1" xfId="0" applyFont="1" applyFill="1" applyBorder="1"/>
    <xf numFmtId="6" fontId="0" fillId="10" borderId="1" xfId="0" applyNumberFormat="1" applyFill="1" applyBorder="1" applyAlignment="1">
      <alignment horizontal="center" vertical="center"/>
    </xf>
    <xf numFmtId="0" fontId="8" fillId="10" borderId="0" xfId="0" applyFont="1" applyFill="1" applyAlignment="1">
      <alignment horizontal="center" vertical="center"/>
    </xf>
    <xf numFmtId="8" fontId="0" fillId="10" borderId="1" xfId="0" applyNumberFormat="1" applyFill="1" applyBorder="1"/>
    <xf numFmtId="0" fontId="0" fillId="10" borderId="1" xfId="0" applyFill="1" applyBorder="1" applyAlignment="1">
      <alignment horizontal="center" vertical="center"/>
    </xf>
    <xf numFmtId="8" fontId="0" fillId="10" borderId="1" xfId="0" applyNumberFormat="1" applyFill="1" applyBorder="1" applyAlignment="1">
      <alignment horizontal="center" vertical="center"/>
    </xf>
    <xf numFmtId="3" fontId="0" fillId="10" borderId="1" xfId="0" applyNumberFormat="1" applyFill="1" applyBorder="1" applyAlignment="1">
      <alignment horizontal="center" vertical="center"/>
    </xf>
    <xf numFmtId="10" fontId="0" fillId="10" borderId="1" xfId="0" applyNumberFormat="1" applyFill="1" applyBorder="1" applyAlignment="1">
      <alignment horizontal="center" vertical="center"/>
    </xf>
    <xf numFmtId="0" fontId="2" fillId="10" borderId="5" xfId="0" applyFont="1" applyFill="1" applyBorder="1"/>
    <xf numFmtId="0" fontId="2" fillId="10" borderId="6" xfId="0" applyFont="1" applyFill="1" applyBorder="1" applyAlignment="1">
      <alignment horizontal="center" vertical="center"/>
    </xf>
    <xf numFmtId="0" fontId="0" fillId="10" borderId="3" xfId="0" applyFill="1" applyBorder="1"/>
    <xf numFmtId="3" fontId="0" fillId="10" borderId="4" xfId="0" applyNumberFormat="1" applyFill="1" applyBorder="1"/>
    <xf numFmtId="6" fontId="0" fillId="10" borderId="4" xfId="0" applyNumberFormat="1" applyFill="1" applyBorder="1"/>
    <xf numFmtId="20" fontId="0" fillId="10" borderId="1" xfId="0" applyNumberFormat="1" applyFill="1" applyBorder="1" applyAlignment="1">
      <alignment horizontal="center" vertical="center"/>
    </xf>
    <xf numFmtId="0" fontId="0" fillId="10" borderId="7" xfId="0" applyFill="1" applyBorder="1"/>
    <xf numFmtId="6" fontId="0" fillId="10" borderId="8" xfId="0" applyNumberFormat="1" applyFill="1" applyBorder="1"/>
    <xf numFmtId="0" fontId="2" fillId="10" borderId="6" xfId="0" applyFont="1" applyFill="1" applyBorder="1"/>
    <xf numFmtId="17" fontId="0" fillId="10" borderId="3" xfId="0" applyNumberFormat="1" applyFill="1" applyBorder="1"/>
    <xf numFmtId="17" fontId="0" fillId="10" borderId="7" xfId="0" applyNumberFormat="1" applyFill="1" applyBorder="1"/>
    <xf numFmtId="0" fontId="9" fillId="0" borderId="0" xfId="0" applyFont="1" applyAlignment="1">
      <alignment horizontal="left" vertical="top" wrapText="1"/>
    </xf>
    <xf numFmtId="0" fontId="0" fillId="0" borderId="0" xfId="0" applyAlignment="1">
      <alignment vertical="top"/>
    </xf>
    <xf numFmtId="0" fontId="8" fillId="0" borderId="0" xfId="0" applyFont="1" applyAlignment="1">
      <alignment horizontal="left" vertical="top" wrapText="1"/>
    </xf>
    <xf numFmtId="0" fontId="2" fillId="3" borderId="0" xfId="0" applyFont="1" applyFill="1"/>
    <xf numFmtId="0" fontId="2" fillId="11" borderId="1" xfId="0" applyFont="1" applyFill="1" applyBorder="1"/>
    <xf numFmtId="0" fontId="0" fillId="0" borderId="0" xfId="0" applyAlignment="1">
      <alignment vertical="top" wrapText="1"/>
    </xf>
  </cellXfs>
  <cellStyles count="1">
    <cellStyle name="Normal" xfId="0" builtinId="0"/>
  </cellStyles>
  <dxfs count="21">
    <dxf>
      <fill>
        <patternFill>
          <fgColor indexed="64"/>
          <bgColor theme="7" tint="0.39997558519241921"/>
        </patternFill>
      </fill>
    </dxf>
    <dxf>
      <font>
        <b/>
        <i val="0"/>
        <strike val="0"/>
        <condense val="0"/>
        <extend val="0"/>
        <outline val="0"/>
        <shadow val="0"/>
        <u val="none"/>
        <vertAlign val="baseline"/>
        <sz val="11"/>
        <color theme="1"/>
        <name val="Calibri"/>
        <family val="2"/>
        <scheme val="minor"/>
      </font>
      <fill>
        <patternFill>
          <fgColor indexed="64"/>
          <bgColor theme="7" tint="0.39997558519241921"/>
        </patternFill>
      </fill>
      <border diagonalUp="0" diagonalDown="0" outline="0">
        <left style="thin">
          <color indexed="64"/>
        </left>
        <right style="thin">
          <color indexed="64"/>
        </right>
        <top/>
        <bottom/>
      </border>
    </dxf>
    <dxf>
      <numFmt numFmtId="10" formatCode="&quot;₹&quot;\ #,##0;[Red]&quot;₹&quot;\ \-#,##0"/>
      <fill>
        <patternFill>
          <fgColor indexed="64"/>
          <bgColor theme="7" tint="0.39997558519241921"/>
        </patternFill>
      </fill>
      <border diagonalUp="0" diagonalDown="0" outline="0">
        <left style="thin">
          <color indexed="64"/>
        </left>
        <right/>
        <top style="thin">
          <color indexed="64"/>
        </top>
        <bottom style="thin">
          <color indexed="64"/>
        </bottom>
      </border>
    </dxf>
    <dxf>
      <numFmt numFmtId="22" formatCode="mmm/yy"/>
      <fill>
        <patternFill patternType="solid">
          <fgColor indexed="64"/>
          <bgColor theme="7" tint="0.39997558519241921"/>
        </patternFill>
      </fill>
      <border diagonalUp="0" diagonalDown="0" outline="0">
        <left/>
        <right style="thin">
          <color indexed="64"/>
        </right>
        <top style="thin">
          <color indexed="64"/>
        </top>
        <bottom style="thin">
          <color indexed="64"/>
        </bottom>
      </border>
    </dxf>
    <dxf>
      <fill>
        <patternFill>
          <fgColor indexed="64"/>
          <bgColor theme="7" tint="0.39997558519241921"/>
        </patternFill>
      </fill>
    </dxf>
    <dxf>
      <font>
        <b/>
        <i val="0"/>
        <strike val="0"/>
        <condense val="0"/>
        <extend val="0"/>
        <outline val="0"/>
        <shadow val="0"/>
        <u val="none"/>
        <vertAlign val="baseline"/>
        <sz val="11"/>
        <color theme="1"/>
        <name val="Calibri"/>
        <family val="2"/>
        <scheme val="minor"/>
      </font>
      <fill>
        <patternFill>
          <fgColor indexed="64"/>
          <bgColor theme="7" tint="0.39997558519241921"/>
        </patternFill>
      </fill>
      <border diagonalUp="0" diagonalDown="0" outline="0">
        <left style="thin">
          <color indexed="64"/>
        </left>
        <right style="thin">
          <color indexed="64"/>
        </right>
        <top/>
        <bottom/>
      </border>
    </dxf>
    <dxf>
      <numFmt numFmtId="10" formatCode="&quot;₹&quot;\ #,##0;[Red]&quot;₹&quot;\ \-#,##0"/>
      <fill>
        <patternFill>
          <fgColor indexed="64"/>
          <bgColor theme="7" tint="0.39997558519241921"/>
        </patternFill>
      </fill>
      <border diagonalUp="0" diagonalDown="0" outline="0">
        <left style="thin">
          <color indexed="64"/>
        </left>
        <right/>
        <top style="thin">
          <color indexed="64"/>
        </top>
        <bottom style="thin">
          <color indexed="64"/>
        </bottom>
      </border>
    </dxf>
    <dxf>
      <fill>
        <patternFill patternType="solid">
          <fgColor indexed="64"/>
          <bgColor theme="7" tint="0.39997558519241921"/>
        </patternFill>
      </fill>
      <border diagonalUp="0" diagonalDown="0" outline="0">
        <left/>
        <right style="thin">
          <color indexed="64"/>
        </right>
        <top style="thin">
          <color indexed="64"/>
        </top>
        <bottom style="thin">
          <color indexed="64"/>
        </bottom>
      </border>
    </dxf>
    <dxf>
      <fill>
        <patternFill>
          <fgColor indexed="64"/>
          <bgColor theme="7" tint="0.39997558519241921"/>
        </patternFill>
      </fill>
    </dxf>
    <dxf>
      <fill>
        <patternFill>
          <fgColor indexed="64"/>
          <bgColor theme="7" tint="0.39997558519241921"/>
        </patternFill>
      </fill>
    </dxf>
    <dxf>
      <numFmt numFmtId="10" formatCode="&quot;₹&quot;\ #,##0;[Red]&quot;₹&quot;\ \-#,##0"/>
      <fill>
        <patternFill>
          <fgColor indexed="64"/>
          <bgColor theme="7" tint="0.39997558519241921"/>
        </patternFill>
      </fill>
      <border diagonalUp="0" diagonalDown="0" outline="0">
        <left style="thin">
          <color indexed="64"/>
        </left>
        <right/>
        <top style="thin">
          <color indexed="64"/>
        </top>
        <bottom style="thin">
          <color indexed="64"/>
        </bottom>
      </border>
    </dxf>
    <dxf>
      <fill>
        <patternFill patternType="solid">
          <fgColor indexed="64"/>
          <bgColor theme="7" tint="0.39997558519241921"/>
        </patternFill>
      </fill>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Sheet1!$N$138</c:f>
              <c:strCache>
                <c:ptCount val="1"/>
                <c:pt idx="0">
                  <c:v>Total 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Sheet1!$M$139:$M$143</c:f>
              <c:strCache>
                <c:ptCount val="5"/>
                <c:pt idx="0">
                  <c:v>Electronics</c:v>
                </c:pt>
                <c:pt idx="1">
                  <c:v>Furniture</c:v>
                </c:pt>
                <c:pt idx="2">
                  <c:v>Clothing</c:v>
                </c:pt>
                <c:pt idx="3">
                  <c:v>Food</c:v>
                </c:pt>
                <c:pt idx="4">
                  <c:v>Office Supplies</c:v>
                </c:pt>
              </c:strCache>
            </c:strRef>
          </c:cat>
          <c:val>
            <c:numRef>
              <c:f>Sheet1!$N$139:$N$143</c:f>
              <c:numCache>
                <c:formatCode>"₹"#,##0_);[Red]\("₹"#,##0\)</c:formatCode>
                <c:ptCount val="5"/>
                <c:pt idx="0" formatCode="#,##0">
                  <c:v>1204567890</c:v>
                </c:pt>
                <c:pt idx="1">
                  <c:v>850234120</c:v>
                </c:pt>
                <c:pt idx="2">
                  <c:v>702456780</c:v>
                </c:pt>
                <c:pt idx="3">
                  <c:v>498345670</c:v>
                </c:pt>
                <c:pt idx="4">
                  <c:v>352335298</c:v>
                </c:pt>
              </c:numCache>
            </c:numRef>
          </c:val>
          <c:extLst>
            <c:ext xmlns:c16="http://schemas.microsoft.com/office/drawing/2014/chart" uri="{C3380CC4-5D6E-409C-BE32-E72D297353CC}">
              <c16:uniqueId val="{00000000-D75B-4A77-A0D9-1426CD8C0300}"/>
            </c:ext>
          </c:extLst>
        </c:ser>
        <c:dLbls>
          <c:showLegendKey val="0"/>
          <c:showVal val="0"/>
          <c:showCatName val="0"/>
          <c:showSerName val="0"/>
          <c:showPercent val="0"/>
          <c:showBubbleSize val="0"/>
        </c:dLbls>
        <c:gapWidth val="315"/>
        <c:overlap val="-40"/>
        <c:axId val="584368864"/>
        <c:axId val="585595728"/>
      </c:barChart>
      <c:catAx>
        <c:axId val="5843688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5595728"/>
        <c:crosses val="autoZero"/>
        <c:auto val="1"/>
        <c:lblAlgn val="ctr"/>
        <c:lblOffset val="100"/>
        <c:noMultiLvlLbl val="0"/>
      </c:catAx>
      <c:valAx>
        <c:axId val="585595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baseline="0"/>
                  <a:t>Total Revenue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436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0.29300721784776901"/>
          <c:y val="0.17171296296296298"/>
          <c:w val="0.40287467191601051"/>
          <c:h val="0.6714577865266842"/>
        </c:manualLayout>
      </c:layout>
      <c:pieChart>
        <c:varyColors val="1"/>
        <c:ser>
          <c:idx val="0"/>
          <c:order val="0"/>
          <c:tx>
            <c:strRef>
              <c:f>Sheet1!$N$146</c:f>
              <c:strCache>
                <c:ptCount val="1"/>
                <c:pt idx="0">
                  <c:v>Total Revenue</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Sheet1!$M$147:$M$151</c:f>
              <c:strCache>
                <c:ptCount val="5"/>
                <c:pt idx="0">
                  <c:v>East</c:v>
                </c:pt>
                <c:pt idx="1">
                  <c:v>West</c:v>
                </c:pt>
                <c:pt idx="2">
                  <c:v>North</c:v>
                </c:pt>
                <c:pt idx="3">
                  <c:v>South</c:v>
                </c:pt>
                <c:pt idx="4">
                  <c:v>Central</c:v>
                </c:pt>
              </c:strCache>
            </c:strRef>
          </c:cat>
          <c:val>
            <c:numRef>
              <c:f>Sheet1!$N$147:$N$151</c:f>
              <c:numCache>
                <c:formatCode>"₹"#,##0_);[Red]\("₹"#,##0\)</c:formatCode>
                <c:ptCount val="5"/>
                <c:pt idx="0">
                  <c:v>1345678901</c:v>
                </c:pt>
                <c:pt idx="1">
                  <c:v>1204567890</c:v>
                </c:pt>
                <c:pt idx="2">
                  <c:v>1045678234</c:v>
                </c:pt>
                <c:pt idx="3">
                  <c:v>842345678</c:v>
                </c:pt>
                <c:pt idx="4">
                  <c:v>200345055</c:v>
                </c:pt>
              </c:numCache>
            </c:numRef>
          </c:val>
          <c:extLst>
            <c:ext xmlns:c16="http://schemas.microsoft.com/office/drawing/2014/chart" uri="{C3380CC4-5D6E-409C-BE32-E72D297353CC}">
              <c16:uniqueId val="{00000000-DDC4-4A56-B559-874FF9C68B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Sheet1!$N$154</c:f>
              <c:strCache>
                <c:ptCount val="1"/>
                <c:pt idx="0">
                  <c:v>Total Revenue</c:v>
                </c:pt>
              </c:strCache>
            </c:strRef>
          </c:tx>
          <c:spPr>
            <a:ln w="22225" cap="rnd">
              <a:solidFill>
                <a:schemeClr val="accent1"/>
              </a:solidFill>
            </a:ln>
            <a:effectLst>
              <a:glow rad="139700">
                <a:schemeClr val="accent1">
                  <a:satMod val="175000"/>
                  <a:alpha val="14000"/>
                </a:schemeClr>
              </a:glow>
            </a:effectLst>
          </c:spPr>
          <c:marker>
            <c:symbol val="none"/>
          </c:marker>
          <c:cat>
            <c:numRef>
              <c:f>Sheet1!$M$155:$M$166</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Sheet1!$N$155:$N$166</c:f>
              <c:numCache>
                <c:formatCode>"₹"#,##0_);[Red]\("₹"#,##0\)</c:formatCode>
                <c:ptCount val="12"/>
                <c:pt idx="0">
                  <c:v>320456789</c:v>
                </c:pt>
                <c:pt idx="1">
                  <c:v>345678901</c:v>
                </c:pt>
                <c:pt idx="2">
                  <c:v>410234567</c:v>
                </c:pt>
                <c:pt idx="3">
                  <c:v>390123456</c:v>
                </c:pt>
                <c:pt idx="4">
                  <c:v>425678234</c:v>
                </c:pt>
                <c:pt idx="5">
                  <c:v>460345678</c:v>
                </c:pt>
                <c:pt idx="6">
                  <c:v>480567890</c:v>
                </c:pt>
                <c:pt idx="7">
                  <c:v>470456789</c:v>
                </c:pt>
                <c:pt idx="8">
                  <c:v>495678901</c:v>
                </c:pt>
                <c:pt idx="9">
                  <c:v>510234567</c:v>
                </c:pt>
                <c:pt idx="10">
                  <c:v>530123456</c:v>
                </c:pt>
                <c:pt idx="11">
                  <c:v>550678234</c:v>
                </c:pt>
              </c:numCache>
            </c:numRef>
          </c:val>
          <c:smooth val="0"/>
          <c:extLst>
            <c:ext xmlns:c16="http://schemas.microsoft.com/office/drawing/2014/chart" uri="{C3380CC4-5D6E-409C-BE32-E72D297353CC}">
              <c16:uniqueId val="{00000000-47E0-4091-B4DF-1DFD08C36005}"/>
            </c:ext>
          </c:extLst>
        </c:ser>
        <c:dLbls>
          <c:showLegendKey val="0"/>
          <c:showVal val="0"/>
          <c:showCatName val="0"/>
          <c:showSerName val="0"/>
          <c:showPercent val="0"/>
          <c:showBubbleSize val="0"/>
        </c:dLbls>
        <c:smooth val="0"/>
        <c:axId val="467597728"/>
        <c:axId val="467593152"/>
      </c:lineChart>
      <c:dateAx>
        <c:axId val="4675977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7593152"/>
        <c:crosses val="autoZero"/>
        <c:auto val="1"/>
        <c:lblOffset val="100"/>
        <c:baseTimeUnit val="months"/>
      </c:dateAx>
      <c:valAx>
        <c:axId val="4675931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759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662940</xdr:colOff>
      <xdr:row>94</xdr:row>
      <xdr:rowOff>175260</xdr:rowOff>
    </xdr:from>
    <xdr:to>
      <xdr:col>8</xdr:col>
      <xdr:colOff>357188</xdr:colOff>
      <xdr:row>114</xdr:row>
      <xdr:rowOff>99060</xdr:rowOff>
    </xdr:to>
    <xdr:pic>
      <xdr:nvPicPr>
        <xdr:cNvPr id="3" name="Picture 2">
          <a:extLst>
            <a:ext uri="{FF2B5EF4-FFF2-40B4-BE49-F238E27FC236}">
              <a16:creationId xmlns:a16="http://schemas.microsoft.com/office/drawing/2014/main" id="{4056F667-A457-4BED-8EF8-085D09B7E6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82140" y="17564100"/>
          <a:ext cx="6728460" cy="3581400"/>
        </a:xfrm>
        <a:prstGeom prst="rect">
          <a:avLst/>
        </a:prstGeom>
      </xdr:spPr>
    </xdr:pic>
    <xdr:clientData/>
  </xdr:twoCellAnchor>
  <xdr:twoCellAnchor>
    <xdr:from>
      <xdr:col>5</xdr:col>
      <xdr:colOff>251460</xdr:colOff>
      <xdr:row>132</xdr:row>
      <xdr:rowOff>3810</xdr:rowOff>
    </xdr:from>
    <xdr:to>
      <xdr:col>11</xdr:col>
      <xdr:colOff>228600</xdr:colOff>
      <xdr:row>143</xdr:row>
      <xdr:rowOff>175260</xdr:rowOff>
    </xdr:to>
    <xdr:graphicFrame macro="">
      <xdr:nvGraphicFramePr>
        <xdr:cNvPr id="4" name="Chart 3">
          <a:extLst>
            <a:ext uri="{FF2B5EF4-FFF2-40B4-BE49-F238E27FC236}">
              <a16:creationId xmlns:a16="http://schemas.microsoft.com/office/drawing/2014/main" id="{4E7AA6F6-4707-48B7-8830-9E8AB7E5D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251460</xdr:colOff>
      <xdr:row>144</xdr:row>
      <xdr:rowOff>64770</xdr:rowOff>
    </xdr:from>
    <xdr:to>
      <xdr:col>11</xdr:col>
      <xdr:colOff>228600</xdr:colOff>
      <xdr:row>155</xdr:row>
      <xdr:rowOff>167640</xdr:rowOff>
    </xdr:to>
    <xdr:graphicFrame macro="">
      <xdr:nvGraphicFramePr>
        <xdr:cNvPr id="5" name="Chart 4">
          <a:extLst>
            <a:ext uri="{FF2B5EF4-FFF2-40B4-BE49-F238E27FC236}">
              <a16:creationId xmlns:a16="http://schemas.microsoft.com/office/drawing/2014/main" id="{DAA82821-5106-4945-A106-0BBD0FF30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266700</xdr:colOff>
      <xdr:row>156</xdr:row>
      <xdr:rowOff>72390</xdr:rowOff>
    </xdr:from>
    <xdr:to>
      <xdr:col>11</xdr:col>
      <xdr:colOff>243840</xdr:colOff>
      <xdr:row>167</xdr:row>
      <xdr:rowOff>160020</xdr:rowOff>
    </xdr:to>
    <xdr:graphicFrame macro="">
      <xdr:nvGraphicFramePr>
        <xdr:cNvPr id="7" name="Chart 6">
          <a:extLst>
            <a:ext uri="{FF2B5EF4-FFF2-40B4-BE49-F238E27FC236}">
              <a16:creationId xmlns:a16="http://schemas.microsoft.com/office/drawing/2014/main" id="{5A43B3F8-9F85-44B2-968F-6AD0946B1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45720</xdr:colOff>
      <xdr:row>145</xdr:row>
      <xdr:rowOff>99061</xdr:rowOff>
    </xdr:from>
    <xdr:to>
      <xdr:col>4</xdr:col>
      <xdr:colOff>967105</xdr:colOff>
      <xdr:row>155</xdr:row>
      <xdr:rowOff>45721</xdr:rowOff>
    </xdr:to>
    <mc:AlternateContent xmlns:mc="http://schemas.openxmlformats.org/markup-compatibility/2006">
      <mc:Choice xmlns:sle15="http://schemas.microsoft.com/office/drawing/2012/slicer" Requires="sle15">
        <xdr:graphicFrame macro="">
          <xdr:nvGraphicFramePr>
            <xdr:cNvPr id="8" name="M">
              <a:extLst>
                <a:ext uri="{FF2B5EF4-FFF2-40B4-BE49-F238E27FC236}">
                  <a16:creationId xmlns:a16="http://schemas.microsoft.com/office/drawing/2014/main" id="{2B04682B-28FA-4A9B-9716-D1658F465501}"/>
                </a:ext>
              </a:extLst>
            </xdr:cNvPr>
            <xdr:cNvGraphicFramePr/>
          </xdr:nvGraphicFramePr>
          <xdr:xfrm>
            <a:off x="0" y="0"/>
            <a:ext cx="0" cy="0"/>
          </xdr:xfrm>
          <a:graphic>
            <a:graphicData uri="http://schemas.microsoft.com/office/drawing/2010/slicer">
              <sle:slicer xmlns:sle="http://schemas.microsoft.com/office/drawing/2010/slicer" name="M"/>
            </a:graphicData>
          </a:graphic>
        </xdr:graphicFrame>
      </mc:Choice>
      <mc:Fallback>
        <xdr:sp macro="" textlink="">
          <xdr:nvSpPr>
            <xdr:cNvPr id="0" name=""/>
            <xdr:cNvSpPr>
              <a:spLocks noTextEdit="1"/>
            </xdr:cNvSpPr>
          </xdr:nvSpPr>
          <xdr:spPr>
            <a:xfrm>
              <a:off x="1958658" y="26769061"/>
              <a:ext cx="2580322" cy="177228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45720</xdr:colOff>
      <xdr:row>157</xdr:row>
      <xdr:rowOff>15241</xdr:rowOff>
    </xdr:from>
    <xdr:to>
      <xdr:col>4</xdr:col>
      <xdr:colOff>959485</xdr:colOff>
      <xdr:row>166</xdr:row>
      <xdr:rowOff>167641</xdr:rowOff>
    </xdr:to>
    <mc:AlternateContent xmlns:mc="http://schemas.openxmlformats.org/markup-compatibility/2006">
      <mc:Choice xmlns:sle15="http://schemas.microsoft.com/office/drawing/2012/slicer" Requires="sle15">
        <xdr:graphicFrame macro="">
          <xdr:nvGraphicFramePr>
            <xdr:cNvPr id="9" name="Region">
              <a:extLst>
                <a:ext uri="{FF2B5EF4-FFF2-40B4-BE49-F238E27FC236}">
                  <a16:creationId xmlns:a16="http://schemas.microsoft.com/office/drawing/2014/main" id="{BBDAF420-40AE-454E-A3BE-632C0A5E27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58658" y="28875991"/>
              <a:ext cx="2572702" cy="179546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kartik Mishra" refreshedDate="45972.881727314816" createdVersion="7" refreshedVersion="7" minRefreshableVersion="3" recordCount="5" xr:uid="{D0A02401-351F-4772-9107-33A2850E9C8F}">
  <cacheSource type="worksheet">
    <worksheetSource ref="D121:H126" sheet="Sheet1"/>
  </cacheSource>
  <cacheFields count="5">
    <cacheField name="Category" numFmtId="0">
      <sharedItems count="5">
        <s v="Beverages"/>
        <s v="Clothing"/>
        <s v="Electronics"/>
        <s v="Food"/>
        <s v="Furniture"/>
      </sharedItems>
    </cacheField>
    <cacheField name="East" numFmtId="3">
      <sharedItems containsSemiMixedTypes="0" containsString="0" containsNumber="1" containsInteger="1" minValue="12345678" maxValue="56789012"/>
    </cacheField>
    <cacheField name="West" numFmtId="3">
      <sharedItems containsSemiMixedTypes="0" containsString="0" containsNumber="1" containsInteger="1" minValue="9876543" maxValue="45678901"/>
    </cacheField>
    <cacheField name="North" numFmtId="3">
      <sharedItems containsSemiMixedTypes="0" containsString="0" containsNumber="1" containsInteger="1" minValue="8765432" maxValue="43210987"/>
    </cacheField>
    <cacheField name="South" numFmtId="3">
      <sharedItems containsSemiMixedTypes="0" containsString="0" containsNumber="1" containsInteger="1" minValue="7654321" maxValue="345678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2345678"/>
    <n v="9876543"/>
    <n v="8765432"/>
    <n v="7654321"/>
  </r>
  <r>
    <x v="1"/>
    <n v="23456789"/>
    <n v="12345678"/>
    <n v="11111111"/>
    <n v="9999999"/>
  </r>
  <r>
    <x v="2"/>
    <n v="34567890"/>
    <n v="23456789"/>
    <n v="21098765"/>
    <n v="12345678"/>
  </r>
  <r>
    <x v="3"/>
    <n v="45678901"/>
    <n v="34567890"/>
    <n v="32109876"/>
    <n v="23456789"/>
  </r>
  <r>
    <x v="4"/>
    <n v="56789012"/>
    <n v="45678901"/>
    <n v="43210987"/>
    <n v="345678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A7D0BA-E79E-4B6C-B1AC-2D9E92C539DB}"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9" firstHeaderRow="0" firstDataRow="1" firstDataCol="1"/>
  <pivotFields count="5">
    <pivotField axis="axisRow" showAll="0">
      <items count="6">
        <item x="0"/>
        <item x="1"/>
        <item x="2"/>
        <item x="3"/>
        <item x="4"/>
        <item t="default"/>
      </items>
    </pivotField>
    <pivotField dataField="1" numFmtId="3" showAll="0"/>
    <pivotField dataField="1" numFmtId="3" showAll="0"/>
    <pivotField dataField="1" numFmtId="3" showAll="0"/>
    <pivotField dataField="1" numFmtId="3" showAll="0"/>
  </pivotFields>
  <rowFields count="1">
    <field x="0"/>
  </rowFields>
  <rowItems count="6">
    <i>
      <x/>
    </i>
    <i>
      <x v="1"/>
    </i>
    <i>
      <x v="2"/>
    </i>
    <i>
      <x v="3"/>
    </i>
    <i>
      <x v="4"/>
    </i>
    <i t="grand">
      <x/>
    </i>
  </rowItems>
  <colFields count="1">
    <field x="-2"/>
  </colFields>
  <colItems count="4">
    <i>
      <x/>
    </i>
    <i i="1">
      <x v="1"/>
    </i>
    <i i="2">
      <x v="2"/>
    </i>
    <i i="3">
      <x v="3"/>
    </i>
  </colItems>
  <dataFields count="4">
    <dataField name="Sum of East" fld="1" baseField="0" baseItem="0"/>
    <dataField name="Sum of West" fld="2" baseField="0" baseItem="0"/>
    <dataField name="Sum of North" fld="3" baseField="0" baseItem="0"/>
    <dataField name="Sum of South"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F0A0A1-7195-4B7C-9747-7CC0CB664756}"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21:H127" firstHeaderRow="0" firstDataRow="1" firstDataCol="1"/>
  <pivotFields count="5">
    <pivotField axis="axisRow" showAll="0">
      <items count="6">
        <item x="0"/>
        <item x="1"/>
        <item x="2"/>
        <item x="3"/>
        <item x="4"/>
        <item t="default"/>
      </items>
    </pivotField>
    <pivotField dataField="1" numFmtId="3" showAll="0"/>
    <pivotField dataField="1" numFmtId="3" showAll="0"/>
    <pivotField dataField="1" numFmtId="3" showAll="0"/>
    <pivotField dataField="1" numFmtId="3" showAll="0"/>
  </pivotFields>
  <rowFields count="1">
    <field x="0"/>
  </rowFields>
  <rowItems count="6">
    <i>
      <x/>
    </i>
    <i>
      <x v="1"/>
    </i>
    <i>
      <x v="2"/>
    </i>
    <i>
      <x v="3"/>
    </i>
    <i>
      <x v="4"/>
    </i>
    <i t="grand">
      <x/>
    </i>
  </rowItems>
  <colFields count="1">
    <field x="-2"/>
  </colFields>
  <colItems count="4">
    <i>
      <x/>
    </i>
    <i i="1">
      <x v="1"/>
    </i>
    <i i="2">
      <x v="2"/>
    </i>
    <i i="3">
      <x v="3"/>
    </i>
  </colItems>
  <dataFields count="4">
    <dataField name="Sum of East" fld="1" baseField="0" baseItem="0"/>
    <dataField name="Sum of West" fld="2" baseField="0" baseItem="0"/>
    <dataField name="Sum of North" fld="3" baseField="0" baseItem="0"/>
    <dataField name="Sum of South"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 xr10:uid="{2D4787B2-B761-4EDF-9CD5-A42F2F29E44D}" sourceName="M">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BB8C97-B67A-4D9F-BB29-C5D9D9588EDB}" sourceName="Region">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 xr10:uid="{07E3115A-DE11-4D63-A7EA-F773DCD0B61B}" cache="Slicer_M" caption="M" rowHeight="234950"/>
  <slicer name="Region" xr10:uid="{C27EFFCE-24E2-4CBA-9CF3-8B2AC5E75B36}"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41612-B461-46F4-AE18-B117536631A1}" name="Table1" displayName="Table1" ref="M138:N143" totalsRowShown="0" headerRowDxfId="9" dataDxfId="8" headerRowBorderDxfId="19" tableBorderDxfId="20" totalsRowBorderDxfId="18">
  <autoFilter ref="M138:N143" xr:uid="{2AB41612-B461-46F4-AE18-B117536631A1}"/>
  <tableColumns count="2">
    <tableColumn id="1" xr3:uid="{D195DF9B-3CFF-4725-990E-455EDC5B3692}" name="M" dataDxfId="11"/>
    <tableColumn id="2" xr3:uid="{570C67A9-6929-44C3-8E64-C6AB3778CF90}" name="Total Revenu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84373F-469D-4093-A06F-98D41BC9BDAD}" name="Table2" displayName="Table2" ref="M146:N151" totalsRowShown="0" headerRowDxfId="5" dataDxfId="4" headerRowBorderDxfId="16" tableBorderDxfId="17" totalsRowBorderDxfId="15">
  <autoFilter ref="M146:N151" xr:uid="{2284373F-469D-4093-A06F-98D41BC9BDAD}"/>
  <tableColumns count="2">
    <tableColumn id="1" xr3:uid="{933E5234-AEBD-4AAB-A837-36EC1974B98F}" name="Region" dataDxfId="7"/>
    <tableColumn id="2" xr3:uid="{53013508-CBAC-425B-A241-62ABE861115A}" name="Total Revenue"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BC2752-31F0-42CE-8065-0C49A2EBC4A7}" name="Table3" displayName="Table3" ref="M154:N166" totalsRowShown="0" headerRowDxfId="1" dataDxfId="0" headerRowBorderDxfId="13" tableBorderDxfId="14" totalsRowBorderDxfId="12">
  <autoFilter ref="M154:N166" xr:uid="{5BBC2752-31F0-42CE-8065-0C49A2EBC4A7}"/>
  <tableColumns count="2">
    <tableColumn id="1" xr3:uid="{4217454F-DA04-4FCA-81AE-C206733CE0EA}" name="Month" dataDxfId="3"/>
    <tableColumn id="2" xr3:uid="{3A386814-3C35-4AFD-A947-EDCC73AF694E}" name="Total Revenu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07/relationships/slicer" Target="../slicers/slicer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892A-AA8E-4191-A8B6-7BE517F4CD38}">
  <dimension ref="A3:E9"/>
  <sheetViews>
    <sheetView workbookViewId="0">
      <selection activeCell="A3" sqref="A3:E9"/>
    </sheetView>
  </sheetViews>
  <sheetFormatPr defaultRowHeight="14.4" x14ac:dyDescent="0.3"/>
  <cols>
    <col min="1" max="1" width="12.5546875" bestFit="1" customWidth="1"/>
    <col min="2" max="2" width="10.88671875" bestFit="1" customWidth="1"/>
    <col min="3" max="3" width="11.6640625" bestFit="1" customWidth="1"/>
    <col min="4" max="4" width="12.33203125" bestFit="1" customWidth="1"/>
    <col min="5" max="5" width="12.44140625" bestFit="1" customWidth="1"/>
  </cols>
  <sheetData>
    <row r="3" spans="1:5" x14ac:dyDescent="0.3">
      <c r="A3" s="38" t="s">
        <v>97</v>
      </c>
      <c r="B3" t="s">
        <v>99</v>
      </c>
      <c r="C3" t="s">
        <v>100</v>
      </c>
      <c r="D3" t="s">
        <v>101</v>
      </c>
      <c r="E3" t="s">
        <v>102</v>
      </c>
    </row>
    <row r="4" spans="1:5" x14ac:dyDescent="0.3">
      <c r="A4" s="3" t="s">
        <v>61</v>
      </c>
      <c r="B4" s="39">
        <v>12345678</v>
      </c>
      <c r="C4" s="39">
        <v>9876543</v>
      </c>
      <c r="D4" s="39">
        <v>8765432</v>
      </c>
      <c r="E4" s="39">
        <v>7654321</v>
      </c>
    </row>
    <row r="5" spans="1:5" x14ac:dyDescent="0.3">
      <c r="A5" s="3" t="s">
        <v>47</v>
      </c>
      <c r="B5" s="39">
        <v>23456789</v>
      </c>
      <c r="C5" s="39">
        <v>12345678</v>
      </c>
      <c r="D5" s="39">
        <v>11111111</v>
      </c>
      <c r="E5" s="39">
        <v>9999999</v>
      </c>
    </row>
    <row r="6" spans="1:5" x14ac:dyDescent="0.3">
      <c r="A6" s="3" t="s">
        <v>96</v>
      </c>
      <c r="B6" s="39">
        <v>34567890</v>
      </c>
      <c r="C6" s="39">
        <v>23456789</v>
      </c>
      <c r="D6" s="39">
        <v>21098765</v>
      </c>
      <c r="E6" s="39">
        <v>12345678</v>
      </c>
    </row>
    <row r="7" spans="1:5" x14ac:dyDescent="0.3">
      <c r="A7" s="3" t="s">
        <v>46</v>
      </c>
      <c r="B7" s="39">
        <v>45678901</v>
      </c>
      <c r="C7" s="39">
        <v>34567890</v>
      </c>
      <c r="D7" s="39">
        <v>32109876</v>
      </c>
      <c r="E7" s="39">
        <v>23456789</v>
      </c>
    </row>
    <row r="8" spans="1:5" x14ac:dyDescent="0.3">
      <c r="A8" s="3" t="s">
        <v>45</v>
      </c>
      <c r="B8" s="39">
        <v>56789012</v>
      </c>
      <c r="C8" s="39">
        <v>45678901</v>
      </c>
      <c r="D8" s="39">
        <v>43210987</v>
      </c>
      <c r="E8" s="39">
        <v>34567890</v>
      </c>
    </row>
    <row r="9" spans="1:5" x14ac:dyDescent="0.3">
      <c r="A9" s="3" t="s">
        <v>98</v>
      </c>
      <c r="B9" s="39">
        <v>172838270</v>
      </c>
      <c r="C9" s="39">
        <v>125925801</v>
      </c>
      <c r="D9" s="39">
        <v>116296171</v>
      </c>
      <c r="E9" s="39">
        <v>88024677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A9E74-F68F-4BF9-9CC5-5B49F6DFCDB5}">
  <dimension ref="C2:V224"/>
  <sheetViews>
    <sheetView tabSelected="1" zoomScale="96" workbookViewId="0">
      <selection activeCell="L18" sqref="L18"/>
    </sheetView>
  </sheetViews>
  <sheetFormatPr defaultRowHeight="14.4" x14ac:dyDescent="0.3"/>
  <cols>
    <col min="3" max="3" width="10.109375" customWidth="1"/>
    <col min="4" max="4" width="24.21875" customWidth="1"/>
    <col min="5" max="5" width="31.5546875" customWidth="1"/>
    <col min="6" max="6" width="11.77734375" customWidth="1"/>
    <col min="7" max="7" width="12.5546875" customWidth="1"/>
    <col min="8" max="8" width="12.33203125" customWidth="1"/>
    <col min="10" max="10" width="12.5546875" customWidth="1"/>
    <col min="13" max="13" width="14" customWidth="1"/>
    <col min="14" max="14" width="26.6640625" customWidth="1"/>
  </cols>
  <sheetData>
    <row r="2" spans="3:21" x14ac:dyDescent="0.3">
      <c r="F2" s="29" t="s">
        <v>0</v>
      </c>
      <c r="G2" s="29"/>
      <c r="H2" s="29"/>
      <c r="I2" s="29"/>
      <c r="J2" s="29"/>
      <c r="K2" s="29"/>
      <c r="L2" s="29"/>
      <c r="M2" s="29"/>
      <c r="N2" s="29"/>
      <c r="O2" s="29"/>
      <c r="P2" s="29"/>
      <c r="Q2" s="29"/>
      <c r="R2" s="29"/>
      <c r="S2" s="29"/>
    </row>
    <row r="3" spans="3:21" x14ac:dyDescent="0.3">
      <c r="F3" s="29"/>
      <c r="G3" s="29"/>
      <c r="H3" s="29"/>
      <c r="I3" s="29"/>
      <c r="J3" s="29"/>
      <c r="K3" s="29"/>
      <c r="L3" s="29"/>
      <c r="M3" s="29"/>
      <c r="N3" s="29"/>
      <c r="O3" s="29"/>
      <c r="P3" s="29"/>
      <c r="Q3" s="29"/>
      <c r="R3" s="29"/>
      <c r="S3" s="29"/>
    </row>
    <row r="4" spans="3:21" x14ac:dyDescent="0.3">
      <c r="F4" s="29"/>
      <c r="G4" s="29"/>
      <c r="H4" s="29"/>
      <c r="I4" s="29"/>
      <c r="J4" s="29"/>
      <c r="K4" s="29"/>
      <c r="L4" s="29"/>
      <c r="M4" s="29"/>
      <c r="N4" s="29"/>
      <c r="O4" s="29"/>
      <c r="P4" s="29"/>
      <c r="Q4" s="29"/>
      <c r="R4" s="29"/>
      <c r="S4" s="29"/>
    </row>
    <row r="5" spans="3:21" x14ac:dyDescent="0.3">
      <c r="F5" s="29"/>
      <c r="G5" s="29"/>
      <c r="H5" s="29"/>
      <c r="I5" s="29"/>
      <c r="J5" s="29"/>
      <c r="K5" s="29"/>
      <c r="L5" s="29"/>
      <c r="M5" s="29"/>
      <c r="N5" s="29"/>
      <c r="O5" s="29"/>
      <c r="P5" s="29"/>
      <c r="Q5" s="29"/>
      <c r="R5" s="29"/>
      <c r="S5" s="29"/>
    </row>
    <row r="6" spans="3:21" x14ac:dyDescent="0.3">
      <c r="F6" s="29"/>
      <c r="G6" s="29"/>
      <c r="H6" s="29"/>
      <c r="I6" s="29"/>
      <c r="J6" s="29"/>
      <c r="K6" s="29"/>
      <c r="L6" s="29"/>
      <c r="M6" s="29"/>
      <c r="N6" s="29"/>
      <c r="O6" s="29"/>
      <c r="P6" s="29"/>
      <c r="Q6" s="29"/>
      <c r="R6" s="29"/>
      <c r="S6" s="29"/>
    </row>
    <row r="7" spans="3:21" x14ac:dyDescent="0.3">
      <c r="F7" s="29"/>
      <c r="G7" s="29"/>
      <c r="H7" s="29"/>
      <c r="I7" s="29"/>
      <c r="J7" s="29"/>
      <c r="K7" s="29"/>
      <c r="L7" s="29"/>
      <c r="M7" s="29"/>
      <c r="N7" s="29"/>
      <c r="O7" s="29"/>
      <c r="P7" s="29"/>
      <c r="Q7" s="29"/>
      <c r="R7" s="29"/>
      <c r="S7" s="29"/>
    </row>
    <row r="8" spans="3:21" x14ac:dyDescent="0.3">
      <c r="F8" s="29"/>
      <c r="G8" s="29"/>
      <c r="H8" s="29"/>
      <c r="I8" s="29"/>
      <c r="J8" s="29"/>
      <c r="K8" s="29"/>
      <c r="L8" s="29"/>
      <c r="M8" s="29"/>
      <c r="N8" s="29"/>
      <c r="O8" s="29"/>
      <c r="P8" s="29"/>
      <c r="Q8" s="29"/>
      <c r="R8" s="29"/>
      <c r="S8" s="29"/>
    </row>
    <row r="13" spans="3:21" x14ac:dyDescent="0.3">
      <c r="C13" s="2" t="s">
        <v>1</v>
      </c>
      <c r="D13" s="19" t="s">
        <v>2</v>
      </c>
      <c r="E13" s="19"/>
      <c r="F13" s="19"/>
      <c r="G13" s="19"/>
      <c r="H13" s="19"/>
      <c r="I13" s="19"/>
      <c r="J13" s="19"/>
      <c r="K13" s="19"/>
      <c r="L13" s="19"/>
      <c r="M13" s="19"/>
      <c r="N13" s="19"/>
      <c r="O13" s="19"/>
      <c r="P13" s="19"/>
      <c r="Q13" s="19"/>
      <c r="R13" s="19"/>
      <c r="S13" s="19"/>
      <c r="T13" s="19"/>
      <c r="U13" s="19"/>
    </row>
    <row r="15" spans="3:21" ht="15.6" x14ac:dyDescent="0.3">
      <c r="C15" s="1" t="s">
        <v>3</v>
      </c>
      <c r="D15" s="30" t="s">
        <v>4</v>
      </c>
      <c r="E15" s="30"/>
      <c r="F15" s="30"/>
      <c r="G15" s="30"/>
    </row>
    <row r="17" spans="4:22" x14ac:dyDescent="0.3">
      <c r="D17" s="31" t="s">
        <v>5</v>
      </c>
      <c r="E17" s="31"/>
      <c r="F17" s="31"/>
      <c r="G17" s="31"/>
      <c r="H17" s="31"/>
      <c r="I17" s="31"/>
      <c r="J17" s="31"/>
      <c r="K17" s="31"/>
      <c r="L17" s="31"/>
      <c r="M17" s="31"/>
      <c r="N17" s="31"/>
      <c r="O17" s="31"/>
      <c r="P17" s="31"/>
      <c r="Q17" s="31"/>
      <c r="R17" s="31"/>
      <c r="S17" s="31"/>
      <c r="T17" s="31"/>
      <c r="U17" s="31"/>
    </row>
    <row r="19" spans="4:22" x14ac:dyDescent="0.3">
      <c r="D19" s="19" t="s">
        <v>6</v>
      </c>
      <c r="E19" s="19"/>
      <c r="F19" s="19"/>
      <c r="G19" s="19"/>
      <c r="H19" s="19"/>
      <c r="I19" s="19"/>
      <c r="J19" s="19"/>
      <c r="K19" s="19"/>
      <c r="L19" s="19"/>
      <c r="M19" s="19"/>
      <c r="N19" s="19"/>
      <c r="O19" s="19"/>
      <c r="P19" s="19"/>
      <c r="Q19" s="19"/>
      <c r="R19" s="19"/>
      <c r="S19" s="19"/>
      <c r="T19" s="19"/>
      <c r="U19" s="19"/>
      <c r="V19" s="19"/>
    </row>
    <row r="21" spans="4:22" x14ac:dyDescent="0.3">
      <c r="D21" s="19" t="s">
        <v>7</v>
      </c>
      <c r="E21" s="19"/>
      <c r="F21" s="19"/>
      <c r="G21" s="19"/>
      <c r="H21" s="19"/>
      <c r="I21" s="19"/>
      <c r="J21" s="19"/>
      <c r="K21" s="19"/>
      <c r="L21" s="19"/>
      <c r="M21" s="19"/>
      <c r="N21" s="19"/>
      <c r="O21" s="19"/>
      <c r="P21" s="19"/>
      <c r="Q21" s="19"/>
      <c r="R21" s="19"/>
      <c r="S21" s="19"/>
      <c r="T21" s="19"/>
      <c r="U21" s="19"/>
      <c r="V21" s="19"/>
    </row>
    <row r="23" spans="4:22" x14ac:dyDescent="0.3">
      <c r="D23" s="19" t="s">
        <v>8</v>
      </c>
      <c r="E23" s="19"/>
      <c r="F23" s="19"/>
      <c r="G23" s="19"/>
      <c r="H23" s="19"/>
      <c r="I23" s="19"/>
      <c r="J23" s="19"/>
      <c r="K23" s="19"/>
      <c r="L23" s="19"/>
      <c r="M23" s="19"/>
      <c r="N23" s="19"/>
      <c r="O23" s="19"/>
      <c r="P23" s="19"/>
      <c r="Q23" s="19"/>
      <c r="R23" s="19"/>
      <c r="S23" s="19"/>
      <c r="T23" s="19"/>
      <c r="U23" s="19"/>
      <c r="V23" s="19"/>
    </row>
    <row r="25" spans="4:22" x14ac:dyDescent="0.3">
      <c r="D25" s="19" t="s">
        <v>9</v>
      </c>
      <c r="E25" s="19"/>
      <c r="F25" s="19"/>
      <c r="G25" s="19"/>
      <c r="H25" s="19"/>
      <c r="I25" s="19"/>
      <c r="J25" s="19"/>
      <c r="K25" s="19"/>
      <c r="L25" s="19"/>
      <c r="M25" s="19"/>
      <c r="N25" s="19"/>
      <c r="O25" s="19"/>
      <c r="P25" s="19"/>
      <c r="Q25" s="19"/>
      <c r="R25" s="19"/>
      <c r="S25" s="19"/>
      <c r="T25" s="19"/>
      <c r="U25" s="19"/>
      <c r="V25" s="19"/>
    </row>
    <row r="27" spans="4:22" x14ac:dyDescent="0.3">
      <c r="D27" s="19" t="s">
        <v>10</v>
      </c>
      <c r="E27" s="19"/>
      <c r="F27" s="19"/>
      <c r="G27" s="19"/>
      <c r="H27" s="19"/>
      <c r="I27" s="19"/>
      <c r="J27" s="19"/>
      <c r="K27" s="19"/>
      <c r="L27" s="19"/>
      <c r="M27" s="19"/>
      <c r="N27" s="19"/>
      <c r="O27" s="19"/>
      <c r="P27" s="19"/>
      <c r="Q27" s="19"/>
      <c r="R27" s="19"/>
      <c r="S27" s="19"/>
      <c r="T27" s="19"/>
      <c r="U27" s="19"/>
      <c r="V27" s="19"/>
    </row>
    <row r="29" spans="4:22" x14ac:dyDescent="0.3">
      <c r="D29" s="27" t="s">
        <v>11</v>
      </c>
      <c r="E29" s="27"/>
      <c r="F29" s="27"/>
      <c r="G29" s="27"/>
      <c r="H29" s="27"/>
      <c r="I29" s="27"/>
      <c r="J29" s="27"/>
      <c r="K29" s="27"/>
      <c r="L29" s="27"/>
      <c r="M29" s="27"/>
    </row>
    <row r="31" spans="4:22" x14ac:dyDescent="0.3">
      <c r="D31" s="5" t="s">
        <v>12</v>
      </c>
      <c r="E31" s="5" t="s">
        <v>13</v>
      </c>
      <c r="F31" s="28" t="s">
        <v>14</v>
      </c>
      <c r="G31" s="28"/>
      <c r="H31" s="28"/>
      <c r="I31" s="28"/>
      <c r="J31" s="28"/>
      <c r="K31" s="28"/>
      <c r="L31" s="28"/>
      <c r="M31" s="28"/>
      <c r="N31" s="28"/>
      <c r="O31" s="28"/>
      <c r="P31" s="28"/>
      <c r="Q31" s="28"/>
      <c r="R31" s="28"/>
      <c r="S31" s="28"/>
      <c r="T31" s="28"/>
      <c r="U31" s="28"/>
      <c r="V31" s="28"/>
    </row>
    <row r="32" spans="4:22" x14ac:dyDescent="0.3">
      <c r="D32" s="4" t="s">
        <v>15</v>
      </c>
      <c r="E32" s="4">
        <v>3</v>
      </c>
      <c r="F32" s="25" t="s">
        <v>24</v>
      </c>
      <c r="G32" s="25"/>
      <c r="H32" s="25"/>
      <c r="I32" s="25"/>
      <c r="J32" s="25"/>
      <c r="K32" s="25"/>
      <c r="L32" s="25"/>
      <c r="M32" s="25"/>
      <c r="N32" s="25"/>
      <c r="O32" s="25"/>
      <c r="P32" s="25"/>
      <c r="Q32" s="25"/>
      <c r="R32" s="25"/>
      <c r="S32" s="25"/>
      <c r="T32" s="25"/>
      <c r="U32" s="25"/>
      <c r="V32" s="25"/>
    </row>
    <row r="33" spans="3:22" x14ac:dyDescent="0.3">
      <c r="D33" s="4" t="s">
        <v>16</v>
      </c>
      <c r="E33" s="4">
        <v>2</v>
      </c>
      <c r="F33" s="25" t="s">
        <v>25</v>
      </c>
      <c r="G33" s="25"/>
      <c r="H33" s="25"/>
      <c r="I33" s="25"/>
      <c r="J33" s="25"/>
      <c r="K33" s="25"/>
      <c r="L33" s="25"/>
      <c r="M33" s="25"/>
      <c r="N33" s="25"/>
      <c r="O33" s="25"/>
      <c r="P33" s="25"/>
      <c r="Q33" s="25"/>
      <c r="R33" s="25"/>
      <c r="S33" s="25"/>
      <c r="T33" s="25"/>
      <c r="U33" s="25"/>
      <c r="V33" s="25"/>
    </row>
    <row r="34" spans="3:22" x14ac:dyDescent="0.3">
      <c r="D34" s="4" t="s">
        <v>17</v>
      </c>
      <c r="E34" s="4">
        <v>1</v>
      </c>
      <c r="F34" s="25" t="s">
        <v>26</v>
      </c>
      <c r="G34" s="25"/>
      <c r="H34" s="25"/>
      <c r="I34" s="25"/>
      <c r="J34" s="25"/>
      <c r="K34" s="25"/>
      <c r="L34" s="25"/>
      <c r="M34" s="25"/>
      <c r="N34" s="25"/>
      <c r="O34" s="25"/>
      <c r="P34" s="25"/>
      <c r="Q34" s="25"/>
      <c r="R34" s="25"/>
      <c r="S34" s="25"/>
      <c r="T34" s="25"/>
      <c r="U34" s="25"/>
      <c r="V34" s="25"/>
    </row>
    <row r="35" spans="3:22" x14ac:dyDescent="0.3">
      <c r="D35" s="4" t="s">
        <v>18</v>
      </c>
      <c r="E35" s="4">
        <v>0</v>
      </c>
      <c r="F35" s="25" t="s">
        <v>27</v>
      </c>
      <c r="G35" s="25"/>
      <c r="H35" s="25"/>
      <c r="I35" s="25"/>
      <c r="J35" s="25"/>
      <c r="K35" s="25"/>
      <c r="L35" s="25"/>
      <c r="M35" s="25"/>
      <c r="N35" s="25"/>
      <c r="O35" s="25"/>
      <c r="P35" s="25"/>
      <c r="Q35" s="25"/>
      <c r="R35" s="25"/>
      <c r="S35" s="25"/>
      <c r="T35" s="25"/>
      <c r="U35" s="25"/>
      <c r="V35" s="25"/>
    </row>
    <row r="36" spans="3:22" x14ac:dyDescent="0.3">
      <c r="D36" s="4" t="s">
        <v>19</v>
      </c>
      <c r="E36" s="4">
        <v>0</v>
      </c>
      <c r="F36" s="25" t="s">
        <v>27</v>
      </c>
      <c r="G36" s="25"/>
      <c r="H36" s="25"/>
      <c r="I36" s="25"/>
      <c r="J36" s="25"/>
      <c r="K36" s="25"/>
      <c r="L36" s="25"/>
      <c r="M36" s="25"/>
      <c r="N36" s="25"/>
      <c r="O36" s="25"/>
      <c r="P36" s="25"/>
      <c r="Q36" s="25"/>
      <c r="R36" s="25"/>
      <c r="S36" s="25"/>
      <c r="T36" s="25"/>
      <c r="U36" s="25"/>
      <c r="V36" s="25"/>
    </row>
    <row r="37" spans="3:22" x14ac:dyDescent="0.3">
      <c r="D37" s="4" t="s">
        <v>20</v>
      </c>
      <c r="E37" s="4">
        <v>0</v>
      </c>
      <c r="F37" s="25" t="s">
        <v>27</v>
      </c>
      <c r="G37" s="25"/>
      <c r="H37" s="25"/>
      <c r="I37" s="25"/>
      <c r="J37" s="25"/>
      <c r="K37" s="25"/>
      <c r="L37" s="25"/>
      <c r="M37" s="25"/>
      <c r="N37" s="25"/>
      <c r="O37" s="25"/>
      <c r="P37" s="25"/>
      <c r="Q37" s="25"/>
      <c r="R37" s="25"/>
      <c r="S37" s="25"/>
      <c r="T37" s="25"/>
      <c r="U37" s="25"/>
      <c r="V37" s="25"/>
    </row>
    <row r="38" spans="3:22" x14ac:dyDescent="0.3">
      <c r="D38" s="4" t="s">
        <v>21</v>
      </c>
      <c r="E38" s="4">
        <v>6</v>
      </c>
      <c r="F38" s="25" t="s">
        <v>28</v>
      </c>
      <c r="G38" s="25"/>
      <c r="H38" s="25"/>
      <c r="I38" s="25"/>
      <c r="J38" s="25"/>
      <c r="K38" s="25"/>
      <c r="L38" s="25"/>
      <c r="M38" s="25"/>
      <c r="N38" s="25"/>
      <c r="O38" s="25"/>
      <c r="P38" s="25"/>
      <c r="Q38" s="25"/>
      <c r="R38" s="25"/>
      <c r="S38" s="25"/>
      <c r="T38" s="25"/>
      <c r="U38" s="25"/>
      <c r="V38" s="25"/>
    </row>
    <row r="39" spans="3:22" x14ac:dyDescent="0.3">
      <c r="D39" s="4" t="s">
        <v>22</v>
      </c>
      <c r="E39" s="4">
        <v>4</v>
      </c>
      <c r="F39" s="25" t="s">
        <v>29</v>
      </c>
      <c r="G39" s="25"/>
      <c r="H39" s="25"/>
      <c r="I39" s="25"/>
      <c r="J39" s="25"/>
      <c r="K39" s="25"/>
      <c r="L39" s="25"/>
      <c r="M39" s="25"/>
      <c r="N39" s="25"/>
      <c r="O39" s="25"/>
      <c r="P39" s="25"/>
      <c r="Q39" s="25"/>
      <c r="R39" s="25"/>
      <c r="S39" s="25"/>
      <c r="T39" s="25"/>
      <c r="U39" s="25"/>
      <c r="V39" s="25"/>
    </row>
    <row r="40" spans="3:22" x14ac:dyDescent="0.3">
      <c r="D40" s="4" t="s">
        <v>23</v>
      </c>
      <c r="E40" s="4">
        <v>9</v>
      </c>
      <c r="F40" s="25" t="s">
        <v>30</v>
      </c>
      <c r="G40" s="25"/>
      <c r="H40" s="25"/>
      <c r="I40" s="25"/>
      <c r="J40" s="25"/>
      <c r="K40" s="25"/>
      <c r="L40" s="25"/>
      <c r="M40" s="25"/>
      <c r="N40" s="25"/>
      <c r="O40" s="25"/>
      <c r="P40" s="25"/>
      <c r="Q40" s="25"/>
      <c r="R40" s="25"/>
      <c r="S40" s="25"/>
      <c r="T40" s="25"/>
      <c r="U40" s="25"/>
      <c r="V40" s="25"/>
    </row>
    <row r="42" spans="3:22" x14ac:dyDescent="0.3">
      <c r="C42" s="2" t="s">
        <v>32</v>
      </c>
      <c r="D42" s="19" t="s">
        <v>33</v>
      </c>
      <c r="E42" s="19"/>
      <c r="F42" s="19"/>
      <c r="G42" s="19"/>
      <c r="H42" s="19"/>
      <c r="I42" s="19"/>
      <c r="J42" s="19"/>
      <c r="K42" s="19"/>
      <c r="L42" s="19"/>
      <c r="M42" s="19"/>
      <c r="N42" s="19"/>
      <c r="O42" s="19"/>
      <c r="P42" s="19"/>
      <c r="Q42" s="19"/>
      <c r="R42" s="19"/>
      <c r="S42" s="19"/>
      <c r="T42" s="19"/>
      <c r="U42" s="19"/>
    </row>
    <row r="44" spans="3:22" x14ac:dyDescent="0.3">
      <c r="C44" s="1" t="s">
        <v>3</v>
      </c>
      <c r="D44" s="6"/>
      <c r="E44" s="26" t="s">
        <v>35</v>
      </c>
      <c r="F44" s="26"/>
      <c r="G44" s="26" t="s">
        <v>36</v>
      </c>
      <c r="H44" s="26"/>
    </row>
    <row r="45" spans="3:22" x14ac:dyDescent="0.3">
      <c r="D45" s="7" t="s">
        <v>34</v>
      </c>
      <c r="E45" s="7" t="s">
        <v>17</v>
      </c>
      <c r="F45" s="7" t="s">
        <v>15</v>
      </c>
      <c r="G45" s="7" t="s">
        <v>17</v>
      </c>
      <c r="H45" s="7" t="s">
        <v>15</v>
      </c>
      <c r="I45" s="21" t="s">
        <v>48</v>
      </c>
      <c r="J45" s="21"/>
      <c r="K45" s="21"/>
      <c r="L45" s="21"/>
      <c r="M45" s="21"/>
      <c r="N45" s="21"/>
      <c r="O45" s="21"/>
      <c r="P45" s="21"/>
      <c r="Q45" s="21"/>
      <c r="R45" s="21"/>
      <c r="S45" s="21"/>
    </row>
    <row r="46" spans="3:22" x14ac:dyDescent="0.3">
      <c r="D46" s="6" t="s">
        <v>37</v>
      </c>
      <c r="E46" s="6" t="s">
        <v>41</v>
      </c>
      <c r="F46" s="6" t="s">
        <v>41</v>
      </c>
      <c r="G46" s="6" t="s">
        <v>45</v>
      </c>
      <c r="H46" s="6" t="s">
        <v>44</v>
      </c>
      <c r="I46" s="21"/>
      <c r="J46" s="21"/>
      <c r="K46" s="21"/>
      <c r="L46" s="21"/>
      <c r="M46" s="21"/>
      <c r="N46" s="21"/>
      <c r="O46" s="21"/>
      <c r="P46" s="21"/>
      <c r="Q46" s="21"/>
      <c r="R46" s="21"/>
      <c r="S46" s="21"/>
    </row>
    <row r="47" spans="3:22" x14ac:dyDescent="0.3">
      <c r="D47" s="6" t="s">
        <v>38</v>
      </c>
      <c r="E47" s="6" t="s">
        <v>41</v>
      </c>
      <c r="F47" s="6" t="s">
        <v>42</v>
      </c>
      <c r="G47" s="6" t="s">
        <v>46</v>
      </c>
      <c r="H47" s="6" t="s">
        <v>42</v>
      </c>
      <c r="I47" s="21"/>
      <c r="J47" s="21"/>
      <c r="K47" s="21"/>
      <c r="L47" s="21"/>
      <c r="M47" s="21"/>
      <c r="N47" s="21"/>
      <c r="O47" s="21"/>
      <c r="P47" s="21"/>
      <c r="Q47" s="21"/>
      <c r="R47" s="21"/>
      <c r="S47" s="21"/>
    </row>
    <row r="48" spans="3:22" x14ac:dyDescent="0.3">
      <c r="D48" s="6" t="s">
        <v>39</v>
      </c>
      <c r="E48" s="6" t="s">
        <v>41</v>
      </c>
      <c r="F48" s="6" t="s">
        <v>42</v>
      </c>
      <c r="G48" s="6" t="s">
        <v>47</v>
      </c>
      <c r="H48" s="6" t="s">
        <v>42</v>
      </c>
      <c r="I48" s="21"/>
      <c r="J48" s="21"/>
      <c r="K48" s="21"/>
      <c r="L48" s="21"/>
      <c r="M48" s="21"/>
      <c r="N48" s="21"/>
      <c r="O48" s="21"/>
      <c r="P48" s="21"/>
      <c r="Q48" s="21"/>
      <c r="R48" s="21"/>
      <c r="S48" s="21"/>
    </row>
    <row r="49" spans="3:21" x14ac:dyDescent="0.3">
      <c r="D49" s="6" t="s">
        <v>40</v>
      </c>
      <c r="E49" s="6" t="s">
        <v>41</v>
      </c>
      <c r="F49" s="6" t="s">
        <v>43</v>
      </c>
      <c r="G49" s="6" t="s">
        <v>46</v>
      </c>
      <c r="H49" s="6" t="s">
        <v>43</v>
      </c>
      <c r="I49" s="21"/>
      <c r="J49" s="21"/>
      <c r="K49" s="21"/>
      <c r="L49" s="21"/>
      <c r="M49" s="21"/>
      <c r="N49" s="21"/>
      <c r="O49" s="21"/>
      <c r="P49" s="21"/>
      <c r="Q49" s="21"/>
      <c r="R49" s="21"/>
      <c r="S49" s="21"/>
    </row>
    <row r="53" spans="3:21" x14ac:dyDescent="0.3">
      <c r="C53" s="2" t="s">
        <v>31</v>
      </c>
      <c r="D53" s="19" t="s">
        <v>49</v>
      </c>
      <c r="E53" s="19"/>
      <c r="F53" s="19"/>
      <c r="G53" s="19"/>
      <c r="H53" s="19"/>
      <c r="I53" s="19"/>
      <c r="J53" s="19"/>
      <c r="K53" s="19"/>
      <c r="L53" s="19"/>
      <c r="M53" s="19"/>
      <c r="N53" s="19"/>
      <c r="O53" s="19"/>
      <c r="P53" s="19"/>
      <c r="Q53" s="19"/>
      <c r="R53" s="19"/>
      <c r="S53" s="19"/>
      <c r="T53" s="19"/>
      <c r="U53" s="19"/>
    </row>
    <row r="55" spans="3:21" x14ac:dyDescent="0.3">
      <c r="C55" s="1" t="s">
        <v>3</v>
      </c>
      <c r="D55" s="8" t="s">
        <v>34</v>
      </c>
      <c r="E55" s="8" t="s">
        <v>12</v>
      </c>
      <c r="F55" s="8" t="s">
        <v>50</v>
      </c>
      <c r="G55" s="8" t="s">
        <v>51</v>
      </c>
    </row>
    <row r="56" spans="3:21" x14ac:dyDescent="0.3">
      <c r="D56" s="6" t="s">
        <v>37</v>
      </c>
      <c r="E56" s="6" t="s">
        <v>21</v>
      </c>
      <c r="F56" s="6" t="s">
        <v>41</v>
      </c>
      <c r="G56" s="6">
        <v>233</v>
      </c>
    </row>
    <row r="57" spans="3:21" x14ac:dyDescent="0.3">
      <c r="D57" s="6" t="s">
        <v>52</v>
      </c>
      <c r="E57" s="6" t="s">
        <v>21</v>
      </c>
      <c r="F57" s="6" t="s">
        <v>41</v>
      </c>
      <c r="G57" s="6">
        <v>274</v>
      </c>
    </row>
    <row r="58" spans="3:21" x14ac:dyDescent="0.3">
      <c r="D58" s="6" t="s">
        <v>53</v>
      </c>
      <c r="E58" s="6" t="s">
        <v>21</v>
      </c>
      <c r="F58" s="6" t="s">
        <v>41</v>
      </c>
      <c r="G58" s="6">
        <v>174</v>
      </c>
      <c r="H58" s="20" t="s">
        <v>55</v>
      </c>
      <c r="I58" s="21"/>
      <c r="J58" s="21"/>
      <c r="K58" s="21"/>
      <c r="L58" s="21"/>
      <c r="M58" s="21"/>
      <c r="N58" s="21"/>
      <c r="O58" s="21"/>
      <c r="P58" s="21"/>
      <c r="Q58" s="21"/>
      <c r="R58" s="21"/>
      <c r="S58" s="21"/>
      <c r="T58" s="21"/>
    </row>
    <row r="59" spans="3:21" x14ac:dyDescent="0.3">
      <c r="D59" s="6" t="s">
        <v>54</v>
      </c>
      <c r="E59" s="6" t="s">
        <v>21</v>
      </c>
      <c r="F59" s="6" t="s">
        <v>41</v>
      </c>
      <c r="G59" s="6">
        <v>157</v>
      </c>
      <c r="H59" s="20"/>
      <c r="I59" s="21"/>
      <c r="J59" s="21"/>
      <c r="K59" s="21"/>
      <c r="L59" s="21"/>
      <c r="M59" s="21"/>
      <c r="N59" s="21"/>
      <c r="O59" s="21"/>
      <c r="P59" s="21"/>
      <c r="Q59" s="21"/>
      <c r="R59" s="21"/>
      <c r="S59" s="21"/>
      <c r="T59" s="21"/>
    </row>
    <row r="60" spans="3:21" x14ac:dyDescent="0.3">
      <c r="D60" s="6" t="s">
        <v>38</v>
      </c>
      <c r="E60" s="6" t="s">
        <v>21</v>
      </c>
      <c r="F60" s="6" t="s">
        <v>41</v>
      </c>
      <c r="G60" s="6">
        <v>192</v>
      </c>
      <c r="H60" s="20"/>
      <c r="I60" s="21"/>
      <c r="J60" s="21"/>
      <c r="K60" s="21"/>
      <c r="L60" s="21"/>
      <c r="M60" s="21"/>
      <c r="N60" s="21"/>
      <c r="O60" s="21"/>
      <c r="P60" s="21"/>
      <c r="Q60" s="21"/>
      <c r="R60" s="21"/>
      <c r="S60" s="21"/>
      <c r="T60" s="21"/>
    </row>
    <row r="61" spans="3:21" x14ac:dyDescent="0.3">
      <c r="D61" s="6" t="s">
        <v>39</v>
      </c>
      <c r="E61" s="6" t="s">
        <v>21</v>
      </c>
      <c r="F61" s="6" t="s">
        <v>41</v>
      </c>
      <c r="G61" s="6">
        <v>226</v>
      </c>
      <c r="H61" s="20"/>
      <c r="I61" s="21"/>
      <c r="J61" s="21"/>
      <c r="K61" s="21"/>
      <c r="L61" s="21"/>
      <c r="M61" s="21"/>
      <c r="N61" s="21"/>
      <c r="O61" s="21"/>
      <c r="P61" s="21"/>
      <c r="Q61" s="21"/>
      <c r="R61" s="21"/>
      <c r="S61" s="21"/>
      <c r="T61" s="21"/>
    </row>
    <row r="62" spans="3:21" x14ac:dyDescent="0.3">
      <c r="D62" s="6" t="s">
        <v>37</v>
      </c>
      <c r="E62" s="6" t="s">
        <v>22</v>
      </c>
      <c r="F62" s="6" t="s">
        <v>41</v>
      </c>
      <c r="G62" s="6">
        <v>94.11</v>
      </c>
      <c r="H62" s="20"/>
      <c r="I62" s="21"/>
      <c r="J62" s="21"/>
      <c r="K62" s="21"/>
      <c r="L62" s="21"/>
      <c r="M62" s="21"/>
      <c r="N62" s="21"/>
      <c r="O62" s="21"/>
      <c r="P62" s="21"/>
      <c r="Q62" s="21"/>
      <c r="R62" s="21"/>
      <c r="S62" s="21"/>
      <c r="T62" s="21"/>
    </row>
    <row r="63" spans="3:21" x14ac:dyDescent="0.3">
      <c r="D63" s="6" t="s">
        <v>52</v>
      </c>
      <c r="E63" s="6" t="s">
        <v>22</v>
      </c>
      <c r="F63" s="6" t="s">
        <v>41</v>
      </c>
      <c r="G63" s="6">
        <v>337.1</v>
      </c>
    </row>
    <row r="64" spans="3:21" x14ac:dyDescent="0.3">
      <c r="D64" s="6" t="s">
        <v>54</v>
      </c>
      <c r="E64" s="6" t="s">
        <v>22</v>
      </c>
      <c r="F64" s="6" t="s">
        <v>41</v>
      </c>
      <c r="G64" s="6">
        <v>274.99</v>
      </c>
    </row>
    <row r="65" spans="3:21" x14ac:dyDescent="0.3">
      <c r="D65" s="6" t="s">
        <v>38</v>
      </c>
      <c r="E65" s="6" t="s">
        <v>22</v>
      </c>
      <c r="F65" s="6" t="s">
        <v>41</v>
      </c>
      <c r="G65" s="6">
        <v>227.09</v>
      </c>
    </row>
    <row r="68" spans="3:21" x14ac:dyDescent="0.3">
      <c r="C68" s="2" t="s">
        <v>56</v>
      </c>
      <c r="D68" s="19" t="s">
        <v>57</v>
      </c>
      <c r="E68" s="19"/>
      <c r="F68" s="19"/>
      <c r="G68" s="19"/>
      <c r="H68" s="19"/>
      <c r="I68" s="19"/>
      <c r="J68" s="19"/>
      <c r="K68" s="19"/>
      <c r="L68" s="19"/>
      <c r="M68" s="19"/>
      <c r="N68" s="19"/>
      <c r="O68" s="19"/>
      <c r="P68" s="19"/>
      <c r="Q68" s="19"/>
      <c r="R68" s="19"/>
      <c r="S68" s="19"/>
      <c r="T68" s="19"/>
    </row>
    <row r="70" spans="3:21" x14ac:dyDescent="0.3">
      <c r="C70" s="1" t="s">
        <v>3</v>
      </c>
      <c r="D70" s="22" t="s">
        <v>79</v>
      </c>
      <c r="E70" s="22"/>
      <c r="F70" s="22"/>
      <c r="G70" s="22"/>
      <c r="H70" s="22"/>
      <c r="I70" s="22"/>
      <c r="J70" s="22"/>
      <c r="K70" s="22"/>
      <c r="L70" s="22"/>
      <c r="M70" s="22"/>
      <c r="N70" s="22"/>
      <c r="O70" s="22"/>
      <c r="P70" s="22"/>
      <c r="Q70" s="22"/>
      <c r="R70" s="22"/>
      <c r="S70" s="22"/>
      <c r="T70" s="22"/>
    </row>
    <row r="72" spans="3:21" ht="28.8" x14ac:dyDescent="0.3">
      <c r="D72" s="9" t="s">
        <v>58</v>
      </c>
      <c r="E72" s="9" t="s">
        <v>15</v>
      </c>
      <c r="F72" s="9" t="s">
        <v>16</v>
      </c>
      <c r="G72" s="9" t="s">
        <v>17</v>
      </c>
      <c r="H72" s="9" t="s">
        <v>18</v>
      </c>
      <c r="I72" s="9" t="s">
        <v>19</v>
      </c>
      <c r="J72" s="10" t="s">
        <v>20</v>
      </c>
      <c r="K72" s="9" t="s">
        <v>21</v>
      </c>
      <c r="L72" s="9" t="s">
        <v>22</v>
      </c>
      <c r="M72" s="9" t="s">
        <v>23</v>
      </c>
      <c r="N72" s="11" t="s">
        <v>80</v>
      </c>
    </row>
    <row r="73" spans="3:21" x14ac:dyDescent="0.3">
      <c r="D73" s="12" t="s">
        <v>59</v>
      </c>
      <c r="E73" s="12" t="s">
        <v>42</v>
      </c>
      <c r="F73" s="12" t="s">
        <v>60</v>
      </c>
      <c r="G73" s="12" t="s">
        <v>61</v>
      </c>
      <c r="H73" s="12" t="s">
        <v>62</v>
      </c>
      <c r="I73" s="12" t="s">
        <v>63</v>
      </c>
      <c r="J73" s="13">
        <v>44927</v>
      </c>
      <c r="K73" s="14">
        <v>235</v>
      </c>
      <c r="L73" s="14">
        <v>152.91999999999999</v>
      </c>
      <c r="M73" s="14">
        <v>153.6</v>
      </c>
      <c r="N73" s="18">
        <f>K73*L73</f>
        <v>35936.199999999997</v>
      </c>
    </row>
    <row r="74" spans="3:21" x14ac:dyDescent="0.3">
      <c r="D74" s="15" t="s">
        <v>64</v>
      </c>
      <c r="E74" s="15" t="s">
        <v>44</v>
      </c>
      <c r="F74" s="15" t="s">
        <v>65</v>
      </c>
      <c r="G74" s="15" t="s">
        <v>46</v>
      </c>
      <c r="H74" s="15" t="s">
        <v>62</v>
      </c>
      <c r="I74" s="15" t="s">
        <v>66</v>
      </c>
      <c r="J74" s="16">
        <v>44928</v>
      </c>
      <c r="K74" s="17">
        <v>341</v>
      </c>
      <c r="L74" s="17">
        <v>467.92</v>
      </c>
      <c r="M74" s="17">
        <v>139.84</v>
      </c>
      <c r="N74" s="18">
        <f t="shared" ref="N74:N81" si="0">K74*L74</f>
        <v>159560.72</v>
      </c>
    </row>
    <row r="75" spans="3:21" x14ac:dyDescent="0.3">
      <c r="D75" s="12" t="s">
        <v>67</v>
      </c>
      <c r="E75" s="12" t="s">
        <v>68</v>
      </c>
      <c r="F75" s="12" t="s">
        <v>65</v>
      </c>
      <c r="G75" s="12" t="s">
        <v>47</v>
      </c>
      <c r="H75" s="12" t="s">
        <v>69</v>
      </c>
      <c r="I75" s="12" t="s">
        <v>63</v>
      </c>
      <c r="J75" s="13">
        <v>44929</v>
      </c>
      <c r="K75" s="14">
        <v>179</v>
      </c>
      <c r="L75" s="14">
        <v>473.94</v>
      </c>
      <c r="M75" s="14">
        <v>97.14</v>
      </c>
      <c r="N75" s="18">
        <f t="shared" si="0"/>
        <v>84835.26</v>
      </c>
      <c r="O75" s="23" t="s">
        <v>81</v>
      </c>
      <c r="P75" s="24"/>
      <c r="Q75" s="24"/>
      <c r="R75" s="24"/>
      <c r="S75" s="24"/>
      <c r="T75" s="24"/>
      <c r="U75" s="24"/>
    </row>
    <row r="76" spans="3:21" x14ac:dyDescent="0.3">
      <c r="D76" s="15" t="s">
        <v>70</v>
      </c>
      <c r="E76" s="15" t="s">
        <v>42</v>
      </c>
      <c r="F76" s="15" t="s">
        <v>71</v>
      </c>
      <c r="G76" s="15" t="s">
        <v>45</v>
      </c>
      <c r="H76" s="15" t="s">
        <v>69</v>
      </c>
      <c r="I76" s="15" t="s">
        <v>72</v>
      </c>
      <c r="J76" s="16">
        <v>44930</v>
      </c>
      <c r="K76" s="17">
        <v>18</v>
      </c>
      <c r="L76" s="17">
        <v>314.52999999999997</v>
      </c>
      <c r="M76" s="17">
        <v>204.87</v>
      </c>
      <c r="N76" s="18">
        <f t="shared" si="0"/>
        <v>5661.5399999999991</v>
      </c>
      <c r="O76" s="23"/>
      <c r="P76" s="24"/>
      <c r="Q76" s="24"/>
      <c r="R76" s="24"/>
      <c r="S76" s="24"/>
      <c r="T76" s="24"/>
      <c r="U76" s="24"/>
    </row>
    <row r="77" spans="3:21" x14ac:dyDescent="0.3">
      <c r="D77" s="12" t="s">
        <v>73</v>
      </c>
      <c r="E77" s="12" t="s">
        <v>42</v>
      </c>
      <c r="F77" s="12" t="s">
        <v>65</v>
      </c>
      <c r="G77" s="12" t="s">
        <v>45</v>
      </c>
      <c r="H77" s="12" t="s">
        <v>69</v>
      </c>
      <c r="I77" s="12" t="s">
        <v>72</v>
      </c>
      <c r="J77" s="13">
        <v>44931</v>
      </c>
      <c r="K77" s="14">
        <v>472</v>
      </c>
      <c r="L77" s="14">
        <v>392.79</v>
      </c>
      <c r="M77" s="14">
        <v>330.46</v>
      </c>
      <c r="N77" s="18">
        <f t="shared" si="0"/>
        <v>185396.88</v>
      </c>
      <c r="O77" s="23"/>
      <c r="P77" s="24"/>
      <c r="Q77" s="24"/>
      <c r="R77" s="24"/>
      <c r="S77" s="24"/>
      <c r="T77" s="24"/>
      <c r="U77" s="24"/>
    </row>
    <row r="78" spans="3:21" x14ac:dyDescent="0.3">
      <c r="D78" s="15" t="s">
        <v>74</v>
      </c>
      <c r="E78" s="15" t="s">
        <v>44</v>
      </c>
      <c r="F78" s="15" t="s">
        <v>75</v>
      </c>
      <c r="G78" s="15" t="s">
        <v>47</v>
      </c>
      <c r="H78" s="15" t="s">
        <v>62</v>
      </c>
      <c r="I78" s="15" t="s">
        <v>63</v>
      </c>
      <c r="J78" s="16">
        <v>44932</v>
      </c>
      <c r="K78" s="17">
        <v>49</v>
      </c>
      <c r="L78" s="17">
        <v>308.07</v>
      </c>
      <c r="M78" s="17">
        <v>113.32</v>
      </c>
      <c r="N78" s="18">
        <f t="shared" si="0"/>
        <v>15095.43</v>
      </c>
      <c r="O78" s="23"/>
      <c r="P78" s="24"/>
      <c r="Q78" s="24"/>
      <c r="R78" s="24"/>
      <c r="S78" s="24"/>
      <c r="T78" s="24"/>
      <c r="U78" s="24"/>
    </row>
    <row r="79" spans="3:21" x14ac:dyDescent="0.3">
      <c r="D79" s="12" t="s">
        <v>76</v>
      </c>
      <c r="E79" s="12" t="s">
        <v>68</v>
      </c>
      <c r="F79" s="12" t="s">
        <v>60</v>
      </c>
      <c r="G79" s="12" t="s">
        <v>47</v>
      </c>
      <c r="H79" s="12" t="s">
        <v>62</v>
      </c>
      <c r="I79" s="12" t="s">
        <v>66</v>
      </c>
      <c r="J79" s="13">
        <v>44933</v>
      </c>
      <c r="K79" s="14">
        <v>34</v>
      </c>
      <c r="L79" s="14">
        <v>244.78</v>
      </c>
      <c r="M79" s="14">
        <v>377.07</v>
      </c>
      <c r="N79" s="18">
        <f t="shared" si="0"/>
        <v>8322.52</v>
      </c>
    </row>
    <row r="80" spans="3:21" x14ac:dyDescent="0.3">
      <c r="D80" s="15" t="s">
        <v>77</v>
      </c>
      <c r="E80" s="15" t="s">
        <v>68</v>
      </c>
      <c r="F80" s="15" t="s">
        <v>65</v>
      </c>
      <c r="G80" s="15" t="s">
        <v>61</v>
      </c>
      <c r="H80" s="15" t="s">
        <v>62</v>
      </c>
      <c r="I80" s="15" t="s">
        <v>63</v>
      </c>
      <c r="J80" s="16">
        <v>44934</v>
      </c>
      <c r="K80" s="17">
        <v>270</v>
      </c>
      <c r="L80" s="17">
        <v>332.11</v>
      </c>
      <c r="M80" s="17">
        <v>349.59</v>
      </c>
      <c r="N80" s="18">
        <f t="shared" si="0"/>
        <v>89669.7</v>
      </c>
    </row>
    <row r="81" spans="3:20" x14ac:dyDescent="0.3">
      <c r="D81" s="12" t="s">
        <v>78</v>
      </c>
      <c r="E81" s="12" t="s">
        <v>42</v>
      </c>
      <c r="F81" s="12" t="s">
        <v>65</v>
      </c>
      <c r="G81" s="12" t="s">
        <v>61</v>
      </c>
      <c r="H81" s="12" t="s">
        <v>62</v>
      </c>
      <c r="I81" s="12" t="s">
        <v>66</v>
      </c>
      <c r="J81" s="13">
        <v>44935</v>
      </c>
      <c r="K81" s="14">
        <v>404</v>
      </c>
      <c r="L81" s="14">
        <v>278.74</v>
      </c>
      <c r="M81" s="14">
        <v>66.38</v>
      </c>
      <c r="N81" s="18">
        <f t="shared" si="0"/>
        <v>112610.96</v>
      </c>
    </row>
    <row r="82" spans="3:20" x14ac:dyDescent="0.3">
      <c r="N82" s="35" t="s">
        <v>91</v>
      </c>
    </row>
    <row r="83" spans="3:20" x14ac:dyDescent="0.3">
      <c r="C83" s="2" t="s">
        <v>82</v>
      </c>
      <c r="D83" s="19" t="s">
        <v>83</v>
      </c>
      <c r="E83" s="19"/>
      <c r="F83" s="19"/>
      <c r="G83" s="19"/>
      <c r="H83" s="19"/>
      <c r="I83" s="19"/>
      <c r="J83" s="19"/>
      <c r="K83" s="19"/>
      <c r="L83" s="19"/>
      <c r="M83" s="19"/>
      <c r="N83" s="19"/>
      <c r="O83" s="19"/>
      <c r="P83" s="19"/>
      <c r="Q83" s="19"/>
      <c r="R83" s="19"/>
      <c r="S83" s="19"/>
      <c r="T83" s="19"/>
    </row>
    <row r="85" spans="3:20" x14ac:dyDescent="0.3">
      <c r="C85" s="1" t="s">
        <v>3</v>
      </c>
      <c r="D85" s="19" t="s">
        <v>84</v>
      </c>
      <c r="E85" s="19"/>
      <c r="F85" s="19"/>
      <c r="G85" s="19"/>
      <c r="H85" s="19"/>
      <c r="I85" s="19"/>
      <c r="J85" s="19"/>
      <c r="K85" s="19"/>
    </row>
    <row r="87" spans="3:20" x14ac:dyDescent="0.3">
      <c r="D87" s="1" t="s">
        <v>85</v>
      </c>
      <c r="E87">
        <v>46</v>
      </c>
    </row>
    <row r="88" spans="3:20" x14ac:dyDescent="0.3">
      <c r="D88" s="1" t="s">
        <v>86</v>
      </c>
      <c r="E88">
        <v>344.55</v>
      </c>
    </row>
    <row r="89" spans="3:20" x14ac:dyDescent="0.3">
      <c r="D89" s="1" t="s">
        <v>87</v>
      </c>
      <c r="E89" s="1" t="s">
        <v>88</v>
      </c>
    </row>
    <row r="90" spans="3:20" x14ac:dyDescent="0.3">
      <c r="D90" s="32"/>
      <c r="E90" s="33">
        <f>E87*E88</f>
        <v>15849.300000000001</v>
      </c>
    </row>
    <row r="92" spans="3:20" x14ac:dyDescent="0.3">
      <c r="C92" s="2" t="s">
        <v>89</v>
      </c>
      <c r="D92" s="19" t="s">
        <v>90</v>
      </c>
      <c r="E92" s="19"/>
      <c r="F92" s="19"/>
      <c r="G92" s="19"/>
      <c r="H92" s="19"/>
      <c r="I92" s="19"/>
      <c r="J92" s="19"/>
      <c r="K92" s="19"/>
      <c r="L92" s="19"/>
      <c r="M92" s="19"/>
    </row>
    <row r="94" spans="3:20" x14ac:dyDescent="0.3">
      <c r="C94" s="1" t="s">
        <v>3</v>
      </c>
      <c r="D94" s="36" t="s">
        <v>92</v>
      </c>
      <c r="E94" s="36"/>
      <c r="F94" s="36"/>
      <c r="G94" s="36"/>
      <c r="H94" s="36"/>
      <c r="I94" s="36"/>
      <c r="J94" s="36"/>
    </row>
    <row r="117" spans="3:17" x14ac:dyDescent="0.3">
      <c r="C117" s="1" t="s">
        <v>93</v>
      </c>
      <c r="D117" s="19" t="s">
        <v>94</v>
      </c>
      <c r="E117" s="19"/>
      <c r="F117" s="19"/>
      <c r="G117" s="19"/>
      <c r="H117" s="19"/>
      <c r="I117" s="19"/>
      <c r="J117" s="19"/>
      <c r="K117" s="19"/>
      <c r="L117" s="19"/>
      <c r="M117" s="19"/>
      <c r="N117" s="19"/>
      <c r="O117" s="19"/>
      <c r="P117" s="19"/>
      <c r="Q117" s="19"/>
    </row>
    <row r="119" spans="3:17" x14ac:dyDescent="0.3">
      <c r="C119" s="1" t="s">
        <v>3</v>
      </c>
      <c r="D119" s="37" t="s">
        <v>95</v>
      </c>
      <c r="E119" s="37"/>
      <c r="F119" s="37"/>
      <c r="G119" s="37"/>
      <c r="H119" s="37"/>
      <c r="I119" s="37"/>
      <c r="J119" s="37"/>
      <c r="K119" s="37"/>
      <c r="L119" s="37"/>
      <c r="M119" s="37"/>
      <c r="N119" s="37"/>
      <c r="O119" s="37"/>
      <c r="P119" s="37"/>
      <c r="Q119" s="37"/>
    </row>
    <row r="121" spans="3:17" x14ac:dyDescent="0.3">
      <c r="D121" s="38" t="s">
        <v>97</v>
      </c>
      <c r="E121" s="38" t="s">
        <v>99</v>
      </c>
      <c r="F121" t="s">
        <v>100</v>
      </c>
      <c r="G121" t="s">
        <v>101</v>
      </c>
      <c r="H121" t="s">
        <v>102</v>
      </c>
    </row>
    <row r="122" spans="3:17" x14ac:dyDescent="0.3">
      <c r="D122" s="3" t="s">
        <v>61</v>
      </c>
      <c r="E122" s="39">
        <v>12345678</v>
      </c>
      <c r="F122" s="39">
        <v>9876543</v>
      </c>
      <c r="G122" s="39">
        <v>8765432</v>
      </c>
      <c r="H122" s="39">
        <v>7654321</v>
      </c>
    </row>
    <row r="123" spans="3:17" x14ac:dyDescent="0.3">
      <c r="D123" s="3" t="s">
        <v>47</v>
      </c>
      <c r="E123" s="39">
        <v>23456789</v>
      </c>
      <c r="F123" s="39">
        <v>12345678</v>
      </c>
      <c r="G123" s="39">
        <v>11111111</v>
      </c>
      <c r="H123" s="39">
        <v>9999999</v>
      </c>
    </row>
    <row r="124" spans="3:17" x14ac:dyDescent="0.3">
      <c r="D124" s="3" t="s">
        <v>96</v>
      </c>
      <c r="E124" s="39">
        <v>34567890</v>
      </c>
      <c r="F124" s="39">
        <v>23456789</v>
      </c>
      <c r="G124" s="39">
        <v>21098765</v>
      </c>
      <c r="H124" s="39">
        <v>12345678</v>
      </c>
    </row>
    <row r="125" spans="3:17" x14ac:dyDescent="0.3">
      <c r="D125" s="3" t="s">
        <v>46</v>
      </c>
      <c r="E125" s="39">
        <v>45678901</v>
      </c>
      <c r="F125" s="39">
        <v>34567890</v>
      </c>
      <c r="G125" s="39">
        <v>32109876</v>
      </c>
      <c r="H125" s="39">
        <v>23456789</v>
      </c>
    </row>
    <row r="126" spans="3:17" x14ac:dyDescent="0.3">
      <c r="D126" s="3" t="s">
        <v>45</v>
      </c>
      <c r="E126" s="39">
        <v>56789012</v>
      </c>
      <c r="F126" s="39">
        <v>45678901</v>
      </c>
      <c r="G126" s="39">
        <v>43210987</v>
      </c>
      <c r="H126" s="39">
        <v>34567890</v>
      </c>
    </row>
    <row r="127" spans="3:17" x14ac:dyDescent="0.3">
      <c r="D127" s="3" t="s">
        <v>98</v>
      </c>
      <c r="E127" s="39">
        <v>172838270</v>
      </c>
      <c r="F127" s="39">
        <v>125925801</v>
      </c>
      <c r="G127" s="39">
        <v>116296171</v>
      </c>
      <c r="H127" s="39">
        <v>88024677</v>
      </c>
    </row>
    <row r="129" spans="3:15" x14ac:dyDescent="0.3">
      <c r="C129" s="1" t="s">
        <v>103</v>
      </c>
      <c r="D129" s="19" t="s">
        <v>104</v>
      </c>
      <c r="E129" s="19"/>
      <c r="F129" s="19"/>
      <c r="G129" s="19"/>
      <c r="H129" s="19"/>
      <c r="I129" s="19"/>
      <c r="J129" s="19"/>
      <c r="K129" s="19"/>
      <c r="L129" s="19"/>
      <c r="M129" s="19"/>
    </row>
    <row r="131" spans="3:15" x14ac:dyDescent="0.3">
      <c r="C131" s="1" t="s">
        <v>3</v>
      </c>
      <c r="D131" s="35" t="s">
        <v>116</v>
      </c>
      <c r="E131" s="34"/>
      <c r="F131" s="34"/>
      <c r="G131" s="40" t="s">
        <v>120</v>
      </c>
      <c r="H131" s="40"/>
      <c r="I131" s="40"/>
      <c r="J131" s="40"/>
      <c r="K131" s="34"/>
      <c r="L131" s="34"/>
      <c r="M131" s="34"/>
      <c r="N131" s="34"/>
      <c r="O131" s="34"/>
    </row>
    <row r="132" spans="3:15" x14ac:dyDescent="0.3">
      <c r="D132" s="34"/>
      <c r="E132" s="34"/>
      <c r="F132" s="34"/>
      <c r="G132" s="34"/>
      <c r="H132" s="34"/>
      <c r="I132" s="34"/>
      <c r="J132" s="34"/>
      <c r="K132" s="34"/>
      <c r="L132" s="34"/>
      <c r="M132" s="34"/>
      <c r="N132" s="34"/>
      <c r="O132" s="34"/>
    </row>
    <row r="133" spans="3:15" x14ac:dyDescent="0.3">
      <c r="D133" s="41" t="s">
        <v>80</v>
      </c>
      <c r="E133" s="42">
        <v>12345678</v>
      </c>
      <c r="F133" s="34"/>
      <c r="G133" s="34"/>
      <c r="H133" s="34"/>
      <c r="I133" s="34"/>
      <c r="J133" s="34"/>
      <c r="K133" s="34"/>
      <c r="L133" s="34"/>
      <c r="M133" s="43" t="s">
        <v>119</v>
      </c>
      <c r="N133" s="43"/>
      <c r="O133" s="34"/>
    </row>
    <row r="134" spans="3:15" x14ac:dyDescent="0.3">
      <c r="D134" s="41" t="s">
        <v>105</v>
      </c>
      <c r="E134" s="44">
        <v>1030404569.91</v>
      </c>
      <c r="F134" s="34"/>
      <c r="G134" s="34"/>
      <c r="H134" s="34"/>
      <c r="I134" s="34"/>
      <c r="J134" s="34"/>
      <c r="K134" s="34"/>
      <c r="L134" s="34"/>
      <c r="M134" s="43"/>
      <c r="N134" s="43"/>
      <c r="O134" s="34"/>
    </row>
    <row r="135" spans="3:15" x14ac:dyDescent="0.3">
      <c r="D135" s="41" t="s">
        <v>106</v>
      </c>
      <c r="E135" s="45" t="s">
        <v>114</v>
      </c>
      <c r="F135" s="34"/>
      <c r="G135" s="34"/>
      <c r="H135" s="34"/>
      <c r="I135" s="34"/>
      <c r="J135" s="34"/>
      <c r="K135" s="34"/>
      <c r="L135" s="34"/>
      <c r="M135" s="43"/>
      <c r="N135" s="43"/>
      <c r="O135" s="34"/>
    </row>
    <row r="136" spans="3:15" x14ac:dyDescent="0.3">
      <c r="D136" s="41" t="s">
        <v>107</v>
      </c>
      <c r="E136" s="46">
        <v>64792.800000000003</v>
      </c>
      <c r="F136" s="34"/>
      <c r="G136" s="34"/>
      <c r="H136" s="34"/>
      <c r="I136" s="34"/>
      <c r="J136" s="34"/>
      <c r="K136" s="34"/>
      <c r="L136" s="34"/>
      <c r="M136" s="43"/>
      <c r="N136" s="43"/>
      <c r="O136" s="34"/>
    </row>
    <row r="137" spans="3:15" x14ac:dyDescent="0.3">
      <c r="D137" s="41" t="s">
        <v>108</v>
      </c>
      <c r="E137" s="47">
        <v>98765</v>
      </c>
      <c r="F137" s="34"/>
      <c r="G137" s="34"/>
      <c r="H137" s="34"/>
      <c r="I137" s="34"/>
      <c r="J137" s="34"/>
      <c r="K137" s="34"/>
      <c r="L137" s="34"/>
      <c r="M137" s="34"/>
      <c r="N137" s="34"/>
      <c r="O137" s="34"/>
    </row>
    <row r="138" spans="3:15" x14ac:dyDescent="0.3">
      <c r="D138" s="41" t="s">
        <v>109</v>
      </c>
      <c r="E138" s="48">
        <v>0.2223</v>
      </c>
      <c r="F138" s="34"/>
      <c r="G138" s="34"/>
      <c r="H138" s="34"/>
      <c r="I138" s="34"/>
      <c r="J138" s="34"/>
      <c r="K138" s="34"/>
      <c r="L138" s="34"/>
      <c r="M138" s="49" t="s">
        <v>121</v>
      </c>
      <c r="N138" s="50" t="s">
        <v>80</v>
      </c>
      <c r="O138" s="34"/>
    </row>
    <row r="139" spans="3:15" x14ac:dyDescent="0.3">
      <c r="D139" s="41" t="s">
        <v>110</v>
      </c>
      <c r="E139" s="45" t="s">
        <v>96</v>
      </c>
      <c r="F139" s="34"/>
      <c r="G139" s="34"/>
      <c r="H139" s="34"/>
      <c r="I139" s="34"/>
      <c r="J139" s="34"/>
      <c r="K139" s="34"/>
      <c r="L139" s="34"/>
      <c r="M139" s="51" t="s">
        <v>96</v>
      </c>
      <c r="N139" s="52">
        <v>1204567890</v>
      </c>
      <c r="O139" s="34"/>
    </row>
    <row r="140" spans="3:15" x14ac:dyDescent="0.3">
      <c r="D140" s="41" t="s">
        <v>111</v>
      </c>
      <c r="E140" s="45" t="s">
        <v>42</v>
      </c>
      <c r="F140" s="34"/>
      <c r="G140" s="34"/>
      <c r="H140" s="34"/>
      <c r="I140" s="34"/>
      <c r="J140" s="34"/>
      <c r="K140" s="34"/>
      <c r="L140" s="34"/>
      <c r="M140" s="51" t="s">
        <v>45</v>
      </c>
      <c r="N140" s="53">
        <v>850234120</v>
      </c>
      <c r="O140" s="34"/>
    </row>
    <row r="141" spans="3:15" x14ac:dyDescent="0.3">
      <c r="D141" s="41" t="s">
        <v>112</v>
      </c>
      <c r="E141" s="45" t="s">
        <v>65</v>
      </c>
      <c r="F141" s="34"/>
      <c r="G141" s="34"/>
      <c r="H141" s="34"/>
      <c r="I141" s="34"/>
      <c r="J141" s="34"/>
      <c r="K141" s="34"/>
      <c r="L141" s="34"/>
      <c r="M141" s="51" t="s">
        <v>47</v>
      </c>
      <c r="N141" s="53">
        <v>702456780</v>
      </c>
      <c r="O141" s="34"/>
    </row>
    <row r="142" spans="3:15" x14ac:dyDescent="0.3">
      <c r="D142" s="41" t="s">
        <v>113</v>
      </c>
      <c r="E142" s="54">
        <v>0.25347222222222221</v>
      </c>
      <c r="F142" s="34"/>
      <c r="G142" s="34"/>
      <c r="H142" s="34"/>
      <c r="I142" s="34"/>
      <c r="J142" s="34"/>
      <c r="K142" s="34"/>
      <c r="L142" s="34"/>
      <c r="M142" s="51" t="s">
        <v>46</v>
      </c>
      <c r="N142" s="53">
        <v>498345670</v>
      </c>
      <c r="O142" s="34"/>
    </row>
    <row r="143" spans="3:15" x14ac:dyDescent="0.3">
      <c r="D143" s="34"/>
      <c r="E143" s="34"/>
      <c r="F143" s="34"/>
      <c r="G143" s="34"/>
      <c r="H143" s="34"/>
      <c r="I143" s="34"/>
      <c r="J143" s="34"/>
      <c r="K143" s="34"/>
      <c r="L143" s="34"/>
      <c r="M143" s="55" t="s">
        <v>115</v>
      </c>
      <c r="N143" s="56">
        <v>352335298</v>
      </c>
      <c r="O143" s="34"/>
    </row>
    <row r="144" spans="3:15" x14ac:dyDescent="0.3">
      <c r="D144" s="34"/>
      <c r="E144" s="34"/>
      <c r="F144" s="34"/>
      <c r="G144" s="34"/>
      <c r="H144" s="34"/>
      <c r="I144" s="34"/>
      <c r="J144" s="34"/>
      <c r="K144" s="34"/>
      <c r="L144" s="34"/>
      <c r="M144" s="34"/>
      <c r="N144" s="34"/>
      <c r="O144" s="34"/>
    </row>
    <row r="145" spans="4:15" x14ac:dyDescent="0.3">
      <c r="D145" s="34"/>
      <c r="E145" s="34"/>
      <c r="F145" s="34"/>
      <c r="G145" s="34"/>
      <c r="H145" s="34"/>
      <c r="I145" s="34"/>
      <c r="J145" s="34"/>
      <c r="K145" s="34"/>
      <c r="L145" s="34"/>
      <c r="M145" s="34"/>
      <c r="N145" s="34"/>
      <c r="O145" s="34"/>
    </row>
    <row r="146" spans="4:15" x14ac:dyDescent="0.3">
      <c r="D146" s="34"/>
      <c r="E146" s="34"/>
      <c r="F146" s="34"/>
      <c r="G146" s="34"/>
      <c r="H146" s="34"/>
      <c r="I146" s="34"/>
      <c r="J146" s="34"/>
      <c r="K146" s="34"/>
      <c r="L146" s="34"/>
      <c r="M146" s="49" t="s">
        <v>15</v>
      </c>
      <c r="N146" s="57" t="s">
        <v>80</v>
      </c>
      <c r="O146" s="34"/>
    </row>
    <row r="147" spans="4:15" x14ac:dyDescent="0.3">
      <c r="D147" s="34"/>
      <c r="E147" s="34"/>
      <c r="F147" s="34"/>
      <c r="G147" s="34"/>
      <c r="H147" s="34"/>
      <c r="I147" s="34"/>
      <c r="J147" s="34"/>
      <c r="K147" s="34"/>
      <c r="L147" s="34"/>
      <c r="M147" s="51" t="s">
        <v>42</v>
      </c>
      <c r="N147" s="53">
        <v>1345678901</v>
      </c>
      <c r="O147" s="34"/>
    </row>
    <row r="148" spans="4:15" x14ac:dyDescent="0.3">
      <c r="D148" s="34"/>
      <c r="E148" s="34"/>
      <c r="F148" s="34"/>
      <c r="G148" s="34"/>
      <c r="H148" s="34"/>
      <c r="I148" s="34"/>
      <c r="J148" s="34"/>
      <c r="K148" s="34"/>
      <c r="L148" s="34"/>
      <c r="M148" s="51" t="s">
        <v>44</v>
      </c>
      <c r="N148" s="53">
        <v>1204567890</v>
      </c>
      <c r="O148" s="34"/>
    </row>
    <row r="149" spans="4:15" x14ac:dyDescent="0.3">
      <c r="D149" s="34"/>
      <c r="E149" s="34"/>
      <c r="F149" s="34"/>
      <c r="G149" s="34"/>
      <c r="H149" s="34"/>
      <c r="I149" s="34"/>
      <c r="J149" s="34"/>
      <c r="K149" s="34"/>
      <c r="L149" s="34"/>
      <c r="M149" s="51" t="s">
        <v>68</v>
      </c>
      <c r="N149" s="53">
        <v>1045678234</v>
      </c>
      <c r="O149" s="34"/>
    </row>
    <row r="150" spans="4:15" x14ac:dyDescent="0.3">
      <c r="D150" s="34"/>
      <c r="E150" s="34"/>
      <c r="F150" s="34"/>
      <c r="G150" s="34"/>
      <c r="H150" s="34"/>
      <c r="I150" s="34"/>
      <c r="J150" s="34"/>
      <c r="K150" s="34"/>
      <c r="L150" s="34"/>
      <c r="M150" s="51" t="s">
        <v>43</v>
      </c>
      <c r="N150" s="53">
        <v>842345678</v>
      </c>
      <c r="O150" s="34"/>
    </row>
    <row r="151" spans="4:15" x14ac:dyDescent="0.3">
      <c r="D151" s="34"/>
      <c r="E151" s="34"/>
      <c r="F151" s="34"/>
      <c r="G151" s="34"/>
      <c r="H151" s="34"/>
      <c r="I151" s="34"/>
      <c r="J151" s="34"/>
      <c r="K151" s="34"/>
      <c r="L151" s="34"/>
      <c r="M151" s="55" t="s">
        <v>117</v>
      </c>
      <c r="N151" s="56">
        <v>200345055</v>
      </c>
      <c r="O151" s="34"/>
    </row>
    <row r="152" spans="4:15" x14ac:dyDescent="0.3">
      <c r="D152" s="34"/>
      <c r="E152" s="34"/>
      <c r="F152" s="34"/>
      <c r="G152" s="34"/>
      <c r="H152" s="34"/>
      <c r="I152" s="34"/>
      <c r="J152" s="34"/>
      <c r="K152" s="34"/>
      <c r="L152" s="34"/>
      <c r="M152" s="34"/>
      <c r="N152" s="34"/>
      <c r="O152" s="34"/>
    </row>
    <row r="153" spans="4:15" x14ac:dyDescent="0.3">
      <c r="D153" s="34"/>
      <c r="E153" s="34"/>
      <c r="F153" s="34"/>
      <c r="G153" s="34"/>
      <c r="H153" s="34"/>
      <c r="I153" s="34"/>
      <c r="J153" s="34"/>
      <c r="K153" s="34"/>
      <c r="L153" s="34"/>
      <c r="M153" s="34"/>
      <c r="N153" s="34"/>
      <c r="O153" s="34"/>
    </row>
    <row r="154" spans="4:15" x14ac:dyDescent="0.3">
      <c r="D154" s="34"/>
      <c r="E154" s="34"/>
      <c r="F154" s="34"/>
      <c r="G154" s="34"/>
      <c r="H154" s="34"/>
      <c r="I154" s="34"/>
      <c r="J154" s="34"/>
      <c r="K154" s="34"/>
      <c r="L154" s="34"/>
      <c r="M154" s="49" t="s">
        <v>118</v>
      </c>
      <c r="N154" s="57" t="s">
        <v>80</v>
      </c>
      <c r="O154" s="34"/>
    </row>
    <row r="155" spans="4:15" x14ac:dyDescent="0.3">
      <c r="D155" s="34"/>
      <c r="E155" s="34"/>
      <c r="F155" s="34"/>
      <c r="G155" s="34"/>
      <c r="H155" s="34"/>
      <c r="I155" s="34"/>
      <c r="J155" s="34"/>
      <c r="K155" s="34"/>
      <c r="L155" s="34"/>
      <c r="M155" s="58">
        <v>44927</v>
      </c>
      <c r="N155" s="53">
        <v>320456789</v>
      </c>
      <c r="O155" s="34"/>
    </row>
    <row r="156" spans="4:15" x14ac:dyDescent="0.3">
      <c r="D156" s="34"/>
      <c r="E156" s="34"/>
      <c r="F156" s="34"/>
      <c r="G156" s="34"/>
      <c r="H156" s="34"/>
      <c r="I156" s="34"/>
      <c r="J156" s="34"/>
      <c r="K156" s="34"/>
      <c r="L156" s="34"/>
      <c r="M156" s="58">
        <v>44958</v>
      </c>
      <c r="N156" s="53">
        <v>345678901</v>
      </c>
      <c r="O156" s="34"/>
    </row>
    <row r="157" spans="4:15" x14ac:dyDescent="0.3">
      <c r="D157" s="34"/>
      <c r="E157" s="34"/>
      <c r="F157" s="34"/>
      <c r="G157" s="34"/>
      <c r="H157" s="34"/>
      <c r="I157" s="34"/>
      <c r="J157" s="34"/>
      <c r="K157" s="34"/>
      <c r="L157" s="34"/>
      <c r="M157" s="58">
        <v>44986</v>
      </c>
      <c r="N157" s="53">
        <v>410234567</v>
      </c>
      <c r="O157" s="34"/>
    </row>
    <row r="158" spans="4:15" x14ac:dyDescent="0.3">
      <c r="D158" s="34"/>
      <c r="E158" s="34"/>
      <c r="F158" s="34"/>
      <c r="G158" s="34"/>
      <c r="H158" s="34"/>
      <c r="I158" s="34"/>
      <c r="J158" s="34"/>
      <c r="K158" s="34"/>
      <c r="L158" s="34"/>
      <c r="M158" s="58">
        <v>45017</v>
      </c>
      <c r="N158" s="53">
        <v>390123456</v>
      </c>
      <c r="O158" s="34"/>
    </row>
    <row r="159" spans="4:15" x14ac:dyDescent="0.3">
      <c r="D159" s="34"/>
      <c r="E159" s="34"/>
      <c r="F159" s="34"/>
      <c r="G159" s="34"/>
      <c r="H159" s="34"/>
      <c r="I159" s="34"/>
      <c r="J159" s="34"/>
      <c r="K159" s="34"/>
      <c r="L159" s="34"/>
      <c r="M159" s="58">
        <v>45047</v>
      </c>
      <c r="N159" s="53">
        <v>425678234</v>
      </c>
      <c r="O159" s="34"/>
    </row>
    <row r="160" spans="4:15" x14ac:dyDescent="0.3">
      <c r="D160" s="34"/>
      <c r="E160" s="34"/>
      <c r="F160" s="34"/>
      <c r="G160" s="34"/>
      <c r="H160" s="34"/>
      <c r="I160" s="34"/>
      <c r="J160" s="34"/>
      <c r="K160" s="34"/>
      <c r="L160" s="34"/>
      <c r="M160" s="58">
        <v>45078</v>
      </c>
      <c r="N160" s="53">
        <v>460345678</v>
      </c>
      <c r="O160" s="34"/>
    </row>
    <row r="161" spans="3:18" x14ac:dyDescent="0.3">
      <c r="D161" s="34"/>
      <c r="E161" s="34"/>
      <c r="F161" s="34"/>
      <c r="G161" s="34"/>
      <c r="H161" s="34"/>
      <c r="I161" s="34"/>
      <c r="J161" s="34"/>
      <c r="K161" s="34"/>
      <c r="L161" s="34"/>
      <c r="M161" s="58">
        <v>45108</v>
      </c>
      <c r="N161" s="53">
        <v>480567890</v>
      </c>
      <c r="O161" s="34"/>
    </row>
    <row r="162" spans="3:18" x14ac:dyDescent="0.3">
      <c r="D162" s="34"/>
      <c r="E162" s="34"/>
      <c r="F162" s="34"/>
      <c r="G162" s="34"/>
      <c r="H162" s="34"/>
      <c r="I162" s="34"/>
      <c r="J162" s="34"/>
      <c r="K162" s="34"/>
      <c r="L162" s="34"/>
      <c r="M162" s="58">
        <v>45139</v>
      </c>
      <c r="N162" s="53">
        <v>470456789</v>
      </c>
      <c r="O162" s="34"/>
    </row>
    <row r="163" spans="3:18" x14ac:dyDescent="0.3">
      <c r="D163" s="34"/>
      <c r="E163" s="34"/>
      <c r="F163" s="34"/>
      <c r="G163" s="34"/>
      <c r="H163" s="34"/>
      <c r="I163" s="34"/>
      <c r="J163" s="34"/>
      <c r="K163" s="34"/>
      <c r="L163" s="34"/>
      <c r="M163" s="58">
        <v>45170</v>
      </c>
      <c r="N163" s="53">
        <v>495678901</v>
      </c>
      <c r="O163" s="34"/>
    </row>
    <row r="164" spans="3:18" x14ac:dyDescent="0.3">
      <c r="D164" s="34"/>
      <c r="E164" s="34"/>
      <c r="F164" s="34"/>
      <c r="G164" s="34"/>
      <c r="H164" s="34"/>
      <c r="I164" s="34"/>
      <c r="J164" s="34"/>
      <c r="K164" s="34"/>
      <c r="L164" s="34"/>
      <c r="M164" s="58">
        <v>45200</v>
      </c>
      <c r="N164" s="53">
        <v>510234567</v>
      </c>
      <c r="O164" s="34"/>
    </row>
    <row r="165" spans="3:18" x14ac:dyDescent="0.3">
      <c r="D165" s="34"/>
      <c r="E165" s="34"/>
      <c r="F165" s="34"/>
      <c r="G165" s="34"/>
      <c r="H165" s="34"/>
      <c r="I165" s="34"/>
      <c r="J165" s="34"/>
      <c r="K165" s="34"/>
      <c r="L165" s="34"/>
      <c r="M165" s="58">
        <v>45231</v>
      </c>
      <c r="N165" s="53">
        <v>530123456</v>
      </c>
      <c r="O165" s="34"/>
    </row>
    <row r="166" spans="3:18" x14ac:dyDescent="0.3">
      <c r="D166" s="34"/>
      <c r="E166" s="34"/>
      <c r="F166" s="34"/>
      <c r="G166" s="34"/>
      <c r="H166" s="34"/>
      <c r="I166" s="34"/>
      <c r="J166" s="34"/>
      <c r="K166" s="34"/>
      <c r="L166" s="34"/>
      <c r="M166" s="59">
        <v>45261</v>
      </c>
      <c r="N166" s="56">
        <v>550678234</v>
      </c>
      <c r="O166" s="34"/>
    </row>
    <row r="167" spans="3:18" x14ac:dyDescent="0.3">
      <c r="D167" s="34"/>
      <c r="E167" s="34"/>
      <c r="F167" s="34"/>
      <c r="G167" s="34"/>
      <c r="H167" s="34"/>
      <c r="I167" s="34"/>
      <c r="J167" s="34"/>
      <c r="K167" s="34"/>
      <c r="L167" s="34"/>
      <c r="M167" s="34"/>
      <c r="N167" s="34"/>
      <c r="O167" s="34"/>
    </row>
    <row r="168" spans="3:18" x14ac:dyDescent="0.3">
      <c r="D168" s="34"/>
      <c r="E168" s="34"/>
      <c r="F168" s="34"/>
      <c r="G168" s="34"/>
      <c r="H168" s="34"/>
      <c r="I168" s="34"/>
      <c r="J168" s="34"/>
      <c r="K168" s="34"/>
      <c r="L168" s="34"/>
      <c r="M168" s="34"/>
      <c r="N168" s="34"/>
      <c r="O168" s="34"/>
    </row>
    <row r="169" spans="3:18" x14ac:dyDescent="0.3">
      <c r="D169" s="34"/>
      <c r="E169" s="34"/>
      <c r="F169" s="34"/>
      <c r="G169" s="34"/>
      <c r="H169" s="34"/>
      <c r="I169" s="34"/>
      <c r="J169" s="34"/>
      <c r="K169" s="34"/>
      <c r="L169" s="34"/>
      <c r="M169" s="34"/>
      <c r="N169" s="34"/>
      <c r="O169" s="34"/>
    </row>
    <row r="172" spans="3:18" x14ac:dyDescent="0.3">
      <c r="C172" s="2" t="s">
        <v>122</v>
      </c>
      <c r="D172" s="19" t="s">
        <v>123</v>
      </c>
      <c r="E172" s="19"/>
      <c r="F172" s="19"/>
      <c r="G172" s="19"/>
      <c r="H172" s="19"/>
      <c r="I172" s="19"/>
      <c r="J172" s="19"/>
      <c r="K172" s="19"/>
      <c r="L172" s="19"/>
      <c r="M172" s="19"/>
      <c r="N172" s="19"/>
    </row>
    <row r="174" spans="3:18" ht="14.4" customHeight="1" x14ac:dyDescent="0.3">
      <c r="C174" s="1" t="s">
        <v>3</v>
      </c>
      <c r="D174" s="60" t="s">
        <v>124</v>
      </c>
      <c r="E174" s="60"/>
      <c r="F174" s="60"/>
      <c r="G174" s="60"/>
      <c r="H174" s="60"/>
      <c r="I174" s="60"/>
      <c r="J174" s="60"/>
      <c r="K174" s="60"/>
      <c r="L174" s="60"/>
      <c r="M174" s="60"/>
      <c r="N174" s="60"/>
      <c r="O174" s="61"/>
      <c r="P174" s="61"/>
      <c r="Q174" s="61"/>
      <c r="R174" s="61"/>
    </row>
    <row r="175" spans="3:18" x14ac:dyDescent="0.3">
      <c r="D175" s="60"/>
      <c r="E175" s="60"/>
      <c r="F175" s="60"/>
      <c r="G175" s="60"/>
      <c r="H175" s="60"/>
      <c r="I175" s="60"/>
      <c r="J175" s="60"/>
      <c r="K175" s="60"/>
      <c r="L175" s="60"/>
      <c r="M175" s="60"/>
      <c r="N175" s="60"/>
      <c r="O175" s="61"/>
      <c r="P175" s="61"/>
      <c r="Q175" s="61"/>
      <c r="R175" s="61"/>
    </row>
    <row r="176" spans="3:18" x14ac:dyDescent="0.3">
      <c r="D176" s="60"/>
      <c r="E176" s="60"/>
      <c r="F176" s="60"/>
      <c r="G176" s="60"/>
      <c r="H176" s="60"/>
      <c r="I176" s="60"/>
      <c r="J176" s="60"/>
      <c r="K176" s="60"/>
      <c r="L176" s="60"/>
      <c r="M176" s="60"/>
      <c r="N176" s="60"/>
      <c r="O176" s="61"/>
      <c r="P176" s="61"/>
      <c r="Q176" s="61"/>
      <c r="R176" s="61"/>
    </row>
    <row r="177" spans="4:18" x14ac:dyDescent="0.3">
      <c r="D177" s="60"/>
      <c r="E177" s="60"/>
      <c r="F177" s="60"/>
      <c r="G177" s="60"/>
      <c r="H177" s="60"/>
      <c r="I177" s="60"/>
      <c r="J177" s="60"/>
      <c r="K177" s="60"/>
      <c r="L177" s="60"/>
      <c r="M177" s="60"/>
      <c r="N177" s="60"/>
      <c r="O177" s="61"/>
      <c r="P177" s="61"/>
      <c r="Q177" s="61"/>
      <c r="R177" s="61"/>
    </row>
    <row r="178" spans="4:18" x14ac:dyDescent="0.3">
      <c r="D178" s="60"/>
      <c r="E178" s="60"/>
      <c r="F178" s="60"/>
      <c r="G178" s="60"/>
      <c r="H178" s="60"/>
      <c r="I178" s="60"/>
      <c r="J178" s="60"/>
      <c r="K178" s="60"/>
      <c r="L178" s="60"/>
      <c r="M178" s="60"/>
      <c r="N178" s="60"/>
      <c r="O178" s="61"/>
      <c r="P178" s="61"/>
      <c r="Q178" s="61"/>
      <c r="R178" s="61"/>
    </row>
    <row r="179" spans="4:18" x14ac:dyDescent="0.3">
      <c r="D179" s="60"/>
      <c r="E179" s="60"/>
      <c r="F179" s="60"/>
      <c r="G179" s="60"/>
      <c r="H179" s="60"/>
      <c r="I179" s="60"/>
      <c r="J179" s="60"/>
      <c r="K179" s="60"/>
      <c r="L179" s="60"/>
      <c r="M179" s="60"/>
      <c r="N179" s="60"/>
      <c r="O179" s="61"/>
      <c r="P179" s="61"/>
      <c r="Q179" s="61"/>
      <c r="R179" s="61"/>
    </row>
    <row r="180" spans="4:18" x14ac:dyDescent="0.3">
      <c r="D180" s="60"/>
      <c r="E180" s="60"/>
      <c r="F180" s="60"/>
      <c r="G180" s="60"/>
      <c r="H180" s="60"/>
      <c r="I180" s="60"/>
      <c r="J180" s="60"/>
      <c r="K180" s="60"/>
      <c r="L180" s="60"/>
      <c r="M180" s="60"/>
      <c r="N180" s="60"/>
      <c r="O180" s="61"/>
      <c r="P180" s="61"/>
      <c r="Q180" s="61"/>
      <c r="R180" s="61"/>
    </row>
    <row r="181" spans="4:18" x14ac:dyDescent="0.3">
      <c r="D181" s="60"/>
      <c r="E181" s="60"/>
      <c r="F181" s="60"/>
      <c r="G181" s="60"/>
      <c r="H181" s="60"/>
      <c r="I181" s="60"/>
      <c r="J181" s="60"/>
      <c r="K181" s="60"/>
      <c r="L181" s="60"/>
      <c r="M181" s="60"/>
      <c r="N181" s="60"/>
      <c r="O181" s="61"/>
      <c r="P181" s="61"/>
      <c r="Q181" s="61"/>
      <c r="R181" s="61"/>
    </row>
    <row r="182" spans="4:18" x14ac:dyDescent="0.3">
      <c r="D182" s="60"/>
      <c r="E182" s="60"/>
      <c r="F182" s="60"/>
      <c r="G182" s="60"/>
      <c r="H182" s="60"/>
      <c r="I182" s="60"/>
      <c r="J182" s="60"/>
      <c r="K182" s="60"/>
      <c r="L182" s="60"/>
      <c r="M182" s="60"/>
      <c r="N182" s="60"/>
      <c r="O182" s="61"/>
      <c r="P182" s="61"/>
      <c r="Q182" s="61"/>
      <c r="R182" s="61"/>
    </row>
    <row r="183" spans="4:18" x14ac:dyDescent="0.3">
      <c r="D183" s="60"/>
      <c r="E183" s="60"/>
      <c r="F183" s="60"/>
      <c r="G183" s="60"/>
      <c r="H183" s="60"/>
      <c r="I183" s="60"/>
      <c r="J183" s="60"/>
      <c r="K183" s="60"/>
      <c r="L183" s="60"/>
      <c r="M183" s="60"/>
      <c r="N183" s="60"/>
      <c r="O183" s="61"/>
      <c r="P183" s="61"/>
      <c r="Q183" s="61"/>
      <c r="R183" s="61"/>
    </row>
    <row r="184" spans="4:18" x14ac:dyDescent="0.3">
      <c r="D184" s="60"/>
      <c r="E184" s="60"/>
      <c r="F184" s="60"/>
      <c r="G184" s="60"/>
      <c r="H184" s="60"/>
      <c r="I184" s="60"/>
      <c r="J184" s="60"/>
      <c r="K184" s="60"/>
      <c r="L184" s="60"/>
      <c r="M184" s="60"/>
      <c r="N184" s="60"/>
      <c r="O184" s="61"/>
      <c r="P184" s="61"/>
      <c r="Q184" s="61"/>
      <c r="R184" s="61"/>
    </row>
    <row r="185" spans="4:18" x14ac:dyDescent="0.3">
      <c r="D185" s="60"/>
      <c r="E185" s="60"/>
      <c r="F185" s="60"/>
      <c r="G185" s="60"/>
      <c r="H185" s="60"/>
      <c r="I185" s="60"/>
      <c r="J185" s="60"/>
      <c r="K185" s="60"/>
      <c r="L185" s="60"/>
      <c r="M185" s="60"/>
      <c r="N185" s="60"/>
      <c r="O185" s="61"/>
      <c r="P185" s="61"/>
      <c r="Q185" s="61"/>
      <c r="R185" s="61"/>
    </row>
    <row r="186" spans="4:18" x14ac:dyDescent="0.3">
      <c r="D186" s="60"/>
      <c r="E186" s="60"/>
      <c r="F186" s="60"/>
      <c r="G186" s="60"/>
      <c r="H186" s="60"/>
      <c r="I186" s="60"/>
      <c r="J186" s="60"/>
      <c r="K186" s="60"/>
      <c r="L186" s="60"/>
      <c r="M186" s="60"/>
      <c r="N186" s="60"/>
      <c r="O186" s="61"/>
      <c r="P186" s="61"/>
      <c r="Q186" s="61"/>
      <c r="R186" s="61"/>
    </row>
    <row r="187" spans="4:18" x14ac:dyDescent="0.3">
      <c r="D187" s="62" t="s">
        <v>125</v>
      </c>
      <c r="E187" s="19"/>
      <c r="F187" s="19"/>
      <c r="G187" s="19"/>
      <c r="H187" s="19"/>
      <c r="I187" s="19"/>
      <c r="J187" s="19"/>
      <c r="K187" s="19"/>
      <c r="L187" s="19"/>
      <c r="M187" s="19"/>
      <c r="N187" s="19"/>
      <c r="O187" s="61"/>
      <c r="P187" s="61"/>
      <c r="Q187" s="61"/>
      <c r="R187" s="61"/>
    </row>
    <row r="188" spans="4:18" x14ac:dyDescent="0.3">
      <c r="D188" s="19"/>
      <c r="E188" s="19"/>
      <c r="F188" s="19"/>
      <c r="G188" s="19"/>
      <c r="H188" s="19"/>
      <c r="I188" s="19"/>
      <c r="J188" s="19"/>
      <c r="K188" s="19"/>
      <c r="L188" s="19"/>
      <c r="M188" s="19"/>
      <c r="N188" s="19"/>
      <c r="O188" s="61"/>
      <c r="P188" s="61"/>
      <c r="Q188" s="61"/>
      <c r="R188" s="61"/>
    </row>
    <row r="189" spans="4:18" x14ac:dyDescent="0.3">
      <c r="D189" s="19"/>
      <c r="E189" s="19"/>
      <c r="F189" s="19"/>
      <c r="G189" s="19"/>
      <c r="H189" s="19"/>
      <c r="I189" s="19"/>
      <c r="J189" s="19"/>
      <c r="K189" s="19"/>
      <c r="L189" s="19"/>
      <c r="M189" s="19"/>
      <c r="N189" s="19"/>
      <c r="O189" s="61"/>
      <c r="P189" s="61"/>
      <c r="Q189" s="61"/>
      <c r="R189" s="61"/>
    </row>
    <row r="190" spans="4:18" x14ac:dyDescent="0.3">
      <c r="D190" s="19"/>
      <c r="E190" s="19"/>
      <c r="F190" s="19"/>
      <c r="G190" s="19"/>
      <c r="H190" s="19"/>
      <c r="I190" s="19"/>
      <c r="J190" s="19"/>
      <c r="K190" s="19"/>
      <c r="L190" s="19"/>
      <c r="M190" s="19"/>
      <c r="N190" s="19"/>
      <c r="O190" s="61"/>
      <c r="P190" s="61"/>
      <c r="Q190" s="61"/>
      <c r="R190" s="61"/>
    </row>
    <row r="191" spans="4:18" x14ac:dyDescent="0.3">
      <c r="D191" s="19"/>
      <c r="E191" s="19"/>
      <c r="F191" s="19"/>
      <c r="G191" s="19"/>
      <c r="H191" s="19"/>
      <c r="I191" s="19"/>
      <c r="J191" s="19"/>
      <c r="K191" s="19"/>
      <c r="L191" s="19"/>
      <c r="M191" s="19"/>
      <c r="N191" s="19"/>
      <c r="O191" s="61"/>
      <c r="P191" s="61"/>
      <c r="Q191" s="61"/>
      <c r="R191" s="61"/>
    </row>
    <row r="192" spans="4:18" x14ac:dyDescent="0.3">
      <c r="D192" s="19"/>
      <c r="E192" s="19"/>
      <c r="F192" s="19"/>
      <c r="G192" s="19"/>
      <c r="H192" s="19"/>
      <c r="I192" s="19"/>
      <c r="J192" s="19"/>
      <c r="K192" s="19"/>
      <c r="L192" s="19"/>
      <c r="M192" s="19"/>
      <c r="N192" s="19"/>
      <c r="O192" s="61"/>
      <c r="P192" s="61"/>
      <c r="Q192" s="61"/>
      <c r="R192" s="61"/>
    </row>
    <row r="193" spans="4:18" x14ac:dyDescent="0.3">
      <c r="D193" s="19"/>
      <c r="E193" s="19"/>
      <c r="F193" s="19"/>
      <c r="G193" s="19"/>
      <c r="H193" s="19"/>
      <c r="I193" s="19"/>
      <c r="J193" s="19"/>
      <c r="K193" s="19"/>
      <c r="L193" s="19"/>
      <c r="M193" s="19"/>
      <c r="N193" s="19"/>
      <c r="O193" s="61"/>
      <c r="P193" s="61"/>
      <c r="Q193" s="61"/>
      <c r="R193" s="61"/>
    </row>
    <row r="194" spans="4:18" x14ac:dyDescent="0.3">
      <c r="D194" s="19"/>
      <c r="E194" s="19"/>
      <c r="F194" s="19"/>
      <c r="G194" s="19"/>
      <c r="H194" s="19"/>
      <c r="I194" s="19"/>
      <c r="J194" s="19"/>
      <c r="K194" s="19"/>
      <c r="L194" s="19"/>
      <c r="M194" s="19"/>
      <c r="N194" s="19"/>
      <c r="O194" s="61"/>
      <c r="P194" s="61"/>
      <c r="Q194" s="61"/>
      <c r="R194" s="61"/>
    </row>
    <row r="195" spans="4:18" x14ac:dyDescent="0.3">
      <c r="D195" s="19"/>
      <c r="E195" s="19"/>
      <c r="F195" s="19"/>
      <c r="G195" s="19"/>
      <c r="H195" s="19"/>
      <c r="I195" s="19"/>
      <c r="J195" s="19"/>
      <c r="K195" s="19"/>
      <c r="L195" s="19"/>
      <c r="M195" s="19"/>
      <c r="N195" s="19"/>
      <c r="O195" s="61"/>
      <c r="P195" s="61"/>
      <c r="Q195" s="61"/>
      <c r="R195" s="61"/>
    </row>
    <row r="196" spans="4:18" x14ac:dyDescent="0.3">
      <c r="D196" s="19"/>
      <c r="E196" s="19"/>
      <c r="F196" s="19"/>
      <c r="G196" s="19"/>
      <c r="H196" s="19"/>
      <c r="I196" s="19"/>
      <c r="J196" s="19"/>
      <c r="K196" s="19"/>
      <c r="L196" s="19"/>
      <c r="M196" s="19"/>
      <c r="N196" s="19"/>
      <c r="O196" s="61"/>
      <c r="P196" s="61"/>
      <c r="Q196" s="61"/>
      <c r="R196" s="61"/>
    </row>
    <row r="197" spans="4:18" x14ac:dyDescent="0.3">
      <c r="D197" s="19"/>
      <c r="E197" s="19"/>
      <c r="F197" s="19"/>
      <c r="G197" s="19"/>
      <c r="H197" s="19"/>
      <c r="I197" s="19"/>
      <c r="J197" s="19"/>
      <c r="K197" s="19"/>
      <c r="L197" s="19"/>
      <c r="M197" s="19"/>
      <c r="N197" s="19"/>
      <c r="O197" s="61"/>
      <c r="P197" s="61"/>
      <c r="Q197" s="61"/>
      <c r="R197" s="61"/>
    </row>
    <row r="198" spans="4:18" x14ac:dyDescent="0.3">
      <c r="D198" s="19"/>
      <c r="E198" s="19"/>
      <c r="F198" s="19"/>
      <c r="G198" s="19"/>
      <c r="H198" s="19"/>
      <c r="I198" s="19"/>
      <c r="J198" s="19"/>
      <c r="K198" s="19"/>
      <c r="L198" s="19"/>
      <c r="M198" s="19"/>
      <c r="N198" s="19"/>
      <c r="O198" s="61"/>
      <c r="P198" s="61"/>
      <c r="Q198" s="61"/>
      <c r="R198" s="61"/>
    </row>
    <row r="199" spans="4:18" x14ac:dyDescent="0.3">
      <c r="D199" s="19"/>
      <c r="E199" s="19"/>
      <c r="F199" s="19"/>
      <c r="G199" s="19"/>
      <c r="H199" s="19"/>
      <c r="I199" s="19"/>
      <c r="J199" s="19"/>
      <c r="K199" s="19"/>
      <c r="L199" s="19"/>
      <c r="M199" s="19"/>
      <c r="N199" s="19"/>
      <c r="O199" s="61"/>
      <c r="P199" s="61"/>
      <c r="Q199" s="61"/>
      <c r="R199" s="61"/>
    </row>
    <row r="200" spans="4:18" x14ac:dyDescent="0.3">
      <c r="D200" s="19"/>
      <c r="E200" s="19"/>
      <c r="F200" s="19"/>
      <c r="G200" s="19"/>
      <c r="H200" s="19"/>
      <c r="I200" s="19"/>
      <c r="J200" s="19"/>
      <c r="K200" s="19"/>
      <c r="L200" s="19"/>
      <c r="M200" s="19"/>
      <c r="N200" s="19"/>
      <c r="O200" s="61"/>
      <c r="P200" s="61"/>
      <c r="Q200" s="61"/>
      <c r="R200" s="61"/>
    </row>
    <row r="201" spans="4:18" x14ac:dyDescent="0.3">
      <c r="D201" s="19"/>
      <c r="E201" s="19"/>
      <c r="F201" s="19"/>
      <c r="G201" s="19"/>
      <c r="H201" s="19"/>
      <c r="I201" s="19"/>
      <c r="J201" s="19"/>
      <c r="K201" s="19"/>
      <c r="L201" s="19"/>
      <c r="M201" s="19"/>
      <c r="N201" s="19"/>
      <c r="O201" s="61"/>
      <c r="P201" s="61"/>
      <c r="Q201" s="61"/>
      <c r="R201" s="61"/>
    </row>
    <row r="202" spans="4:18" x14ac:dyDescent="0.3">
      <c r="D202" s="19"/>
      <c r="E202" s="19"/>
      <c r="F202" s="19"/>
      <c r="G202" s="19"/>
      <c r="H202" s="19"/>
      <c r="I202" s="19"/>
      <c r="J202" s="19"/>
      <c r="K202" s="19"/>
      <c r="L202" s="19"/>
      <c r="M202" s="19"/>
      <c r="N202" s="19"/>
    </row>
    <row r="203" spans="4:18" x14ac:dyDescent="0.3">
      <c r="D203" s="19"/>
      <c r="E203" s="19"/>
      <c r="F203" s="19"/>
      <c r="G203" s="19"/>
      <c r="H203" s="19"/>
      <c r="I203" s="19"/>
      <c r="J203" s="19"/>
      <c r="K203" s="19"/>
      <c r="L203" s="19"/>
      <c r="M203" s="19"/>
      <c r="N203" s="19"/>
    </row>
    <row r="204" spans="4:18" x14ac:dyDescent="0.3">
      <c r="D204" s="19"/>
      <c r="E204" s="19"/>
      <c r="F204" s="19"/>
      <c r="G204" s="19"/>
      <c r="H204" s="19"/>
      <c r="I204" s="19"/>
      <c r="J204" s="19"/>
      <c r="K204" s="19"/>
      <c r="L204" s="19"/>
      <c r="M204" s="19"/>
      <c r="N204" s="19"/>
    </row>
    <row r="205" spans="4:18" x14ac:dyDescent="0.3">
      <c r="D205" s="19"/>
      <c r="E205" s="19"/>
      <c r="F205" s="19"/>
      <c r="G205" s="19"/>
      <c r="H205" s="19"/>
      <c r="I205" s="19"/>
      <c r="J205" s="19"/>
      <c r="K205" s="19"/>
      <c r="L205" s="19"/>
      <c r="M205" s="19"/>
      <c r="N205" s="19"/>
    </row>
    <row r="206" spans="4:18" x14ac:dyDescent="0.3">
      <c r="D206" s="19"/>
      <c r="E206" s="19"/>
      <c r="F206" s="19"/>
      <c r="G206" s="19"/>
      <c r="H206" s="19"/>
      <c r="I206" s="19"/>
      <c r="J206" s="19"/>
      <c r="K206" s="19"/>
      <c r="L206" s="19"/>
      <c r="M206" s="19"/>
      <c r="N206" s="19"/>
    </row>
    <row r="207" spans="4:18" ht="14.4" customHeight="1" x14ac:dyDescent="0.3">
      <c r="D207" s="63" t="s">
        <v>126</v>
      </c>
      <c r="G207" s="60" t="s">
        <v>136</v>
      </c>
      <c r="H207" s="60"/>
      <c r="I207" s="60"/>
      <c r="J207" s="60"/>
      <c r="K207" s="60"/>
      <c r="L207" s="60"/>
      <c r="M207" s="60"/>
      <c r="N207" s="65"/>
    </row>
    <row r="208" spans="4:18" x14ac:dyDescent="0.3">
      <c r="G208" s="60"/>
      <c r="H208" s="60"/>
      <c r="I208" s="60"/>
      <c r="J208" s="60"/>
      <c r="K208" s="60"/>
      <c r="L208" s="60"/>
      <c r="M208" s="60"/>
      <c r="N208" s="65"/>
    </row>
    <row r="209" spans="4:14" x14ac:dyDescent="0.3">
      <c r="D209" s="64" t="s">
        <v>127</v>
      </c>
      <c r="E209" s="64" t="s">
        <v>128</v>
      </c>
      <c r="G209" s="60"/>
      <c r="H209" s="60"/>
      <c r="I209" s="60"/>
      <c r="J209" s="60"/>
      <c r="K209" s="60"/>
      <c r="L209" s="60"/>
      <c r="M209" s="60"/>
      <c r="N209" s="65"/>
    </row>
    <row r="210" spans="4:14" x14ac:dyDescent="0.3">
      <c r="D210" s="6" t="s">
        <v>80</v>
      </c>
      <c r="E210" s="6" t="s">
        <v>132</v>
      </c>
      <c r="G210" s="60"/>
      <c r="H210" s="60"/>
      <c r="I210" s="60"/>
      <c r="J210" s="60"/>
      <c r="K210" s="60"/>
      <c r="L210" s="60"/>
      <c r="M210" s="60"/>
      <c r="N210" s="65"/>
    </row>
    <row r="211" spans="4:14" x14ac:dyDescent="0.3">
      <c r="D211" s="6" t="s">
        <v>129</v>
      </c>
      <c r="E211" s="6" t="s">
        <v>133</v>
      </c>
      <c r="G211" s="60"/>
      <c r="H211" s="60"/>
      <c r="I211" s="60"/>
      <c r="J211" s="60"/>
      <c r="K211" s="60"/>
      <c r="L211" s="60"/>
      <c r="M211" s="60"/>
      <c r="N211" s="65"/>
    </row>
    <row r="212" spans="4:14" x14ac:dyDescent="0.3">
      <c r="D212" s="6" t="s">
        <v>130</v>
      </c>
      <c r="E212" s="6" t="s">
        <v>134</v>
      </c>
      <c r="G212" s="60"/>
      <c r="H212" s="60"/>
      <c r="I212" s="60"/>
      <c r="J212" s="60"/>
      <c r="K212" s="60"/>
      <c r="L212" s="60"/>
      <c r="M212" s="60"/>
      <c r="N212" s="65"/>
    </row>
    <row r="213" spans="4:14" x14ac:dyDescent="0.3">
      <c r="D213" s="6" t="s">
        <v>131</v>
      </c>
      <c r="E213" s="6" t="s">
        <v>135</v>
      </c>
      <c r="G213" s="60"/>
      <c r="H213" s="60"/>
      <c r="I213" s="60"/>
      <c r="J213" s="60"/>
      <c r="K213" s="60"/>
      <c r="L213" s="60"/>
      <c r="M213" s="60"/>
      <c r="N213" s="65"/>
    </row>
    <row r="214" spans="4:14" x14ac:dyDescent="0.3">
      <c r="G214" s="60"/>
      <c r="H214" s="60"/>
      <c r="I214" s="60"/>
      <c r="J214" s="60"/>
      <c r="K214" s="60"/>
      <c r="L214" s="60"/>
      <c r="M214" s="60"/>
      <c r="N214" s="65"/>
    </row>
    <row r="215" spans="4:14" x14ac:dyDescent="0.3">
      <c r="G215" s="60"/>
      <c r="H215" s="60"/>
      <c r="I215" s="60"/>
      <c r="J215" s="60"/>
      <c r="K215" s="60"/>
      <c r="L215" s="60"/>
      <c r="M215" s="60"/>
      <c r="N215" s="65"/>
    </row>
    <row r="216" spans="4:14" x14ac:dyDescent="0.3">
      <c r="G216" s="60"/>
      <c r="H216" s="60"/>
      <c r="I216" s="60"/>
      <c r="J216" s="60"/>
      <c r="K216" s="60"/>
      <c r="L216" s="60"/>
      <c r="M216" s="60"/>
      <c r="N216" s="65"/>
    </row>
    <row r="217" spans="4:14" x14ac:dyDescent="0.3">
      <c r="D217" s="63" t="s">
        <v>137</v>
      </c>
      <c r="G217" s="60"/>
      <c r="H217" s="60"/>
      <c r="I217" s="60"/>
      <c r="J217" s="60"/>
      <c r="K217" s="60"/>
      <c r="L217" s="60"/>
      <c r="M217" s="60"/>
      <c r="N217" s="65"/>
    </row>
    <row r="218" spans="4:14" x14ac:dyDescent="0.3">
      <c r="G218" s="65"/>
      <c r="H218" s="65"/>
      <c r="I218" s="65"/>
      <c r="J218" s="65"/>
      <c r="K218" s="65"/>
      <c r="L218" s="65"/>
      <c r="M218" s="65"/>
      <c r="N218" s="65"/>
    </row>
    <row r="219" spans="4:14" x14ac:dyDescent="0.3">
      <c r="D219" s="64" t="s">
        <v>15</v>
      </c>
      <c r="E219" s="64" t="s">
        <v>80</v>
      </c>
      <c r="F219" s="64" t="s">
        <v>138</v>
      </c>
      <c r="G219" s="65"/>
      <c r="H219" s="65"/>
      <c r="I219" s="65"/>
      <c r="J219" s="65"/>
      <c r="K219" s="65"/>
      <c r="L219" s="65"/>
      <c r="M219" s="65"/>
      <c r="N219" s="65"/>
    </row>
    <row r="220" spans="4:14" x14ac:dyDescent="0.3">
      <c r="D220" s="6" t="s">
        <v>44</v>
      </c>
      <c r="E220" s="6" t="s">
        <v>140</v>
      </c>
      <c r="F220" s="6" t="s">
        <v>144</v>
      </c>
      <c r="G220" s="65"/>
      <c r="H220" s="65"/>
      <c r="I220" s="65"/>
      <c r="J220" s="65"/>
      <c r="K220" s="65"/>
      <c r="L220" s="65"/>
      <c r="M220" s="65"/>
      <c r="N220" s="65"/>
    </row>
    <row r="221" spans="4:14" x14ac:dyDescent="0.3">
      <c r="D221" s="6" t="s">
        <v>42</v>
      </c>
      <c r="E221" s="6" t="s">
        <v>141</v>
      </c>
      <c r="F221" s="6" t="s">
        <v>145</v>
      </c>
      <c r="G221" s="65"/>
      <c r="H221" s="65"/>
      <c r="I221" s="65"/>
      <c r="J221" s="65"/>
      <c r="K221" s="65"/>
      <c r="L221" s="65"/>
      <c r="M221" s="65"/>
      <c r="N221" s="65"/>
    </row>
    <row r="222" spans="4:14" x14ac:dyDescent="0.3">
      <c r="D222" s="6" t="s">
        <v>68</v>
      </c>
      <c r="E222" s="6" t="s">
        <v>142</v>
      </c>
      <c r="F222" s="6" t="s">
        <v>146</v>
      </c>
      <c r="G222" s="65"/>
      <c r="H222" s="65"/>
      <c r="I222" s="65"/>
      <c r="J222" s="65"/>
      <c r="K222" s="65"/>
      <c r="L222" s="65"/>
      <c r="M222" s="65"/>
      <c r="N222" s="65"/>
    </row>
    <row r="223" spans="4:14" x14ac:dyDescent="0.3">
      <c r="D223" s="6" t="s">
        <v>43</v>
      </c>
      <c r="E223" s="6" t="s">
        <v>142</v>
      </c>
      <c r="F223" s="6" t="s">
        <v>147</v>
      </c>
    </row>
    <row r="224" spans="4:14" x14ac:dyDescent="0.3">
      <c r="D224" s="6" t="s">
        <v>139</v>
      </c>
      <c r="E224" s="6" t="s">
        <v>143</v>
      </c>
      <c r="F224" s="6" t="s">
        <v>148</v>
      </c>
    </row>
  </sheetData>
  <mergeCells count="42">
    <mergeCell ref="D174:N186"/>
    <mergeCell ref="D187:N206"/>
    <mergeCell ref="G207:M217"/>
    <mergeCell ref="D119:Q119"/>
    <mergeCell ref="D129:M129"/>
    <mergeCell ref="M133:N136"/>
    <mergeCell ref="G131:J131"/>
    <mergeCell ref="D172:N172"/>
    <mergeCell ref="D21:V21"/>
    <mergeCell ref="D85:K85"/>
    <mergeCell ref="D92:M92"/>
    <mergeCell ref="D94:J94"/>
    <mergeCell ref="D117:Q117"/>
    <mergeCell ref="F2:S8"/>
    <mergeCell ref="D13:U13"/>
    <mergeCell ref="D15:G15"/>
    <mergeCell ref="D17:U17"/>
    <mergeCell ref="D19:V19"/>
    <mergeCell ref="F38:V38"/>
    <mergeCell ref="D23:V23"/>
    <mergeCell ref="D25:V25"/>
    <mergeCell ref="D27:V27"/>
    <mergeCell ref="D29:M29"/>
    <mergeCell ref="F31:V31"/>
    <mergeCell ref="F32:V32"/>
    <mergeCell ref="F33:V33"/>
    <mergeCell ref="F34:V34"/>
    <mergeCell ref="F35:V35"/>
    <mergeCell ref="F36:V36"/>
    <mergeCell ref="F37:V37"/>
    <mergeCell ref="D83:T83"/>
    <mergeCell ref="F39:V39"/>
    <mergeCell ref="F40:V40"/>
    <mergeCell ref="D42:U42"/>
    <mergeCell ref="E44:F44"/>
    <mergeCell ref="G44:H44"/>
    <mergeCell ref="I45:S49"/>
    <mergeCell ref="D53:U53"/>
    <mergeCell ref="H58:T62"/>
    <mergeCell ref="D68:T68"/>
    <mergeCell ref="D70:T70"/>
    <mergeCell ref="O75:U78"/>
  </mergeCells>
  <pageMargins left="0.7" right="0.7" top="0.75" bottom="0.75" header="0.3" footer="0.3"/>
  <pageSetup paperSize="9" orientation="portrait" r:id="rId2"/>
  <drawing r:id="rId3"/>
  <tableParts count="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kartik Mishra</dc:creator>
  <cp:lastModifiedBy>Krishna kartik Mishra</cp:lastModifiedBy>
  <dcterms:created xsi:type="dcterms:W3CDTF">2025-11-08T14:37:25Z</dcterms:created>
  <dcterms:modified xsi:type="dcterms:W3CDTF">2025-11-12T16:12:15Z</dcterms:modified>
</cp:coreProperties>
</file>